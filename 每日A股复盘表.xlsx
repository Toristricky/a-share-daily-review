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盘仪表盘" sheetId="1" state="visible" r:id="rId1"/>
    <sheet name="每日复盘" sheetId="2" state="visible" r:id="rId2"/>
    <sheet name="板块热点" sheetId="3" state="visible" r:id="rId3"/>
    <sheet name="核心个股" sheetId="4" state="visible" r:id="rId4"/>
    <sheet name="持仓计划" sheetId="5" state="visible" r:id="rId5"/>
    <sheet name="复盘规则" sheetId="6" state="visible" r:id="rId6"/>
  </sheets>
  <definedNames>
    <definedName name="_xlnm._FilterDatabase" localSheetId="1" hidden="1">'每日复盘'!$A$1:$Q$202</definedName>
    <definedName name="_xlnm._FilterDatabase" localSheetId="2" hidden="1">'板块热点'!$A$1:$O$152</definedName>
    <definedName name="_xlnm._FilterDatabase" localSheetId="3" hidden="1">'核心个股'!$A$1:$P$152</definedName>
    <definedName name="_xlnm._FilterDatabase" localSheetId="4" hidden="1">'持仓计划'!$A$1:$P$102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23395B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3395B"/>
      </patternFill>
    </fill>
    <fill>
      <patternFill patternType="solid">
        <fgColor rgb="00FFFFFF"/>
      </patternFill>
    </fill>
    <fill>
      <patternFill patternType="solid">
        <fgColor rgb="00E8F1F2"/>
      </patternFill>
    </fill>
    <fill>
      <patternFill patternType="solid">
        <fgColor rgb="001F7A8C"/>
      </patternFill>
    </fill>
  </fills>
  <borders count="6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0" pivotButton="0" quotePrefix="0" xfId="0"/>
    <xf numFmtId="164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2" fillId="4" borderId="1" pivotButton="0" quotePrefix="0" xfId="0"/>
    <xf numFmtId="164" fontId="2" fillId="4" borderId="0" pivotButton="0" quotePrefix="0" xfId="0"/>
    <xf numFmtId="0" fontId="2" fillId="4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zoomScale="9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4" customWidth="1" min="4" max="4"/>
    <col width="12" customWidth="1" min="5" max="5"/>
    <col width="20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6" customHeight="1">
      <c r="A1" s="1" t="inlineStr">
        <is>
          <t>每日A股复盘仪表盘</t>
        </is>
      </c>
    </row>
    <row r="3">
      <c r="A3" s="2" t="inlineStr">
        <is>
          <t>今日市场结论：填写市场强弱、资金方向、明日仓位。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1" t="n"/>
    </row>
    <row r="4">
      <c r="A4" s="4" t="n"/>
    </row>
    <row r="5" ht="28" customHeight="1">
      <c r="A5" s="5" t="inlineStr">
        <is>
          <t>最新日期</t>
        </is>
      </c>
      <c r="B5" s="6">
        <f>IFERROR(MAX('每日复盘'!A3:A202),"")</f>
        <v/>
      </c>
      <c r="C5" s="6" t="n"/>
      <c r="D5" s="6" t="inlineStr">
        <is>
          <t>日期</t>
        </is>
      </c>
      <c r="E5" s="6" t="inlineStr">
        <is>
          <t>成交额</t>
        </is>
      </c>
      <c r="F5" s="6" t="inlineStr">
        <is>
          <t>涨停</t>
        </is>
      </c>
      <c r="G5" s="6" t="inlineStr">
        <is>
          <t>跌停</t>
        </is>
      </c>
      <c r="H5" s="6" t="inlineStr">
        <is>
          <t>最强方向</t>
        </is>
      </c>
      <c r="I5" s="6" t="inlineStr">
        <is>
          <t>市场状态</t>
        </is>
      </c>
      <c r="J5" s="6" t="inlineStr">
        <is>
          <t>仓位</t>
        </is>
      </c>
    </row>
    <row r="6">
      <c r="A6" s="7" t="inlineStr">
        <is>
          <t>市场状态</t>
        </is>
      </c>
      <c r="B6" s="3">
        <f>IFERROR(LOOKUP(2,1/('每日复盘'!A3:A202&lt;&gt;""),'每日复盘'!H3:H202),"")</f>
        <v/>
      </c>
      <c r="D6" s="3" t="n"/>
      <c r="E6" s="3" t="n"/>
      <c r="F6" s="3" t="n"/>
      <c r="G6" s="3" t="n"/>
      <c r="H6" s="3" t="n"/>
      <c r="I6" s="3" t="n"/>
      <c r="J6" s="3" t="n"/>
    </row>
    <row r="7">
      <c r="A7" s="7" t="inlineStr">
        <is>
          <t>成交额(亿元)</t>
        </is>
      </c>
      <c r="B7" s="3">
        <f>IFERROR(LOOKUP(2,1/('每日复盘'!A3:A202&lt;&gt;""),'每日复盘'!E3:E202),"")</f>
        <v/>
      </c>
      <c r="D7" s="3" t="n"/>
      <c r="E7" s="3" t="n"/>
      <c r="F7" s="3" t="n"/>
      <c r="G7" s="3" t="n"/>
      <c r="H7" s="3" t="n"/>
      <c r="I7" s="3" t="n"/>
      <c r="J7" s="3" t="n"/>
    </row>
    <row r="8">
      <c r="A8" s="7" t="inlineStr">
        <is>
          <t>情绪评分</t>
        </is>
      </c>
      <c r="B8" s="3">
        <f>IFERROR(LOOKUP(2,1/('每日复盘'!A3:A202&lt;&gt;""),'每日复盘'!L3:L202),"")</f>
        <v/>
      </c>
      <c r="D8" s="3" t="n"/>
      <c r="E8" s="3" t="n"/>
      <c r="F8" s="3" t="n"/>
      <c r="G8" s="3" t="n"/>
      <c r="H8" s="3" t="n"/>
      <c r="I8" s="3" t="n"/>
      <c r="J8" s="3" t="n"/>
    </row>
    <row r="9">
      <c r="A9" s="7" t="inlineStr">
        <is>
          <t>建议仓位</t>
        </is>
      </c>
      <c r="B9" s="3">
        <f>IFERROR(LOOKUP(2,1/('每日复盘'!A3:A202&lt;&gt;""),'每日复盘'!M3:M202),"")</f>
        <v/>
      </c>
      <c r="D9" s="3" t="n"/>
      <c r="E9" s="3" t="n"/>
      <c r="F9" s="3" t="n"/>
      <c r="G9" s="3" t="n"/>
      <c r="H9" s="3" t="n"/>
      <c r="I9" s="3" t="n"/>
      <c r="J9" s="3" t="n"/>
    </row>
    <row r="10">
      <c r="A10" s="4" t="n"/>
      <c r="D10" s="3" t="n"/>
      <c r="E10" s="3" t="n"/>
      <c r="F10" s="3" t="n"/>
      <c r="G10" s="3" t="n"/>
      <c r="H10" s="3" t="n"/>
      <c r="I10" s="3" t="n"/>
      <c r="J10" s="3" t="n"/>
    </row>
    <row r="11">
      <c r="A11" s="4" t="n"/>
    </row>
    <row r="12">
      <c r="A12" s="8" t="inlineStr">
        <is>
          <t>明日交易计划</t>
        </is>
      </c>
    </row>
    <row r="13">
      <c r="A13" s="2" t="inlineStr">
        <is>
          <t>重点方向1</t>
        </is>
      </c>
      <c r="B13" s="3" t="inlineStr"/>
      <c r="C13" s="3" t="inlineStr">
        <is>
          <t>观察股</t>
        </is>
      </c>
      <c r="D13" s="3" t="inlineStr"/>
      <c r="E13" s="3" t="inlineStr">
        <is>
          <t>触发条件</t>
        </is>
      </c>
      <c r="F13" s="3" t="inlineStr"/>
      <c r="G13" s="3" t="inlineStr">
        <is>
          <t>失效条件</t>
        </is>
      </c>
      <c r="H13" s="3" t="inlineStr"/>
      <c r="I13" s="3" t="inlineStr">
        <is>
          <t>计划仓位</t>
        </is>
      </c>
      <c r="J13" s="3" t="inlineStr"/>
    </row>
    <row r="14">
      <c r="A14" s="2" t="inlineStr">
        <is>
          <t>重点方向2</t>
        </is>
      </c>
      <c r="B14" s="3" t="inlineStr"/>
      <c r="C14" s="3" t="inlineStr">
        <is>
          <t>观察股</t>
        </is>
      </c>
      <c r="D14" s="3" t="inlineStr"/>
      <c r="E14" s="3" t="inlineStr">
        <is>
          <t>触发条件</t>
        </is>
      </c>
      <c r="F14" s="3" t="inlineStr"/>
      <c r="G14" s="3" t="inlineStr">
        <is>
          <t>失效条件</t>
        </is>
      </c>
      <c r="H14" s="3" t="inlineStr"/>
      <c r="I14" s="3" t="inlineStr">
        <is>
          <t>计划仓位</t>
        </is>
      </c>
      <c r="J14" s="3" t="inlineStr"/>
    </row>
    <row r="15">
      <c r="A15" s="2" t="inlineStr">
        <is>
          <t>重点方向3</t>
        </is>
      </c>
      <c r="B15" s="3" t="inlineStr"/>
      <c r="C15" s="3" t="inlineStr">
        <is>
          <t>观察股</t>
        </is>
      </c>
      <c r="D15" s="3" t="inlineStr"/>
      <c r="E15" s="3" t="inlineStr">
        <is>
          <t>触发条件</t>
        </is>
      </c>
      <c r="F15" s="3" t="inlineStr"/>
      <c r="G15" s="3" t="inlineStr">
        <is>
          <t>失效条件</t>
        </is>
      </c>
      <c r="H15" s="3" t="inlineStr"/>
      <c r="I15" s="3" t="inlineStr">
        <is>
          <t>计划仓位</t>
        </is>
      </c>
      <c r="J15" s="3" t="inlineStr"/>
    </row>
    <row r="16">
      <c r="A16" s="2" t="inlineStr">
        <is>
          <t>风险提醒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盘前确认</t>
        </is>
      </c>
      <c r="B17" s="3" t="inlineStr"/>
      <c r="C17" s="3" t="inlineStr">
        <is>
          <t>指数/量能/高位股反馈/消息面/外围市场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</sheetData>
  <mergeCells count="3">
    <mergeCell ref="A3:J3"/>
    <mergeCell ref="A1:J1"/>
    <mergeCell ref="A12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2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15" customWidth="1" min="5" max="5"/>
    <col width="15" customWidth="1" min="6" max="6"/>
    <col width="10" customWidth="1" min="7" max="7"/>
    <col width="12" customWidth="1" min="8" max="8"/>
    <col width="9" customWidth="1" min="9" max="9"/>
    <col width="9" customWidth="1" min="10" max="10"/>
    <col width="16" customWidth="1" min="11" max="11"/>
    <col width="12" customWidth="1" min="12" max="12"/>
    <col width="10" customWidth="1" min="13" max="13"/>
    <col width="16" customWidth="1" min="14" max="14"/>
    <col width="20" customWidth="1" min="15" max="15"/>
    <col width="20" customWidth="1" min="16" max="16"/>
    <col width="32" customWidth="1" min="17" max="17"/>
  </cols>
  <sheetData>
    <row r="1" ht="26" customHeight="1">
      <c r="A1" s="1" t="inlineStr">
        <is>
          <t>每日复盘记录</t>
        </is>
      </c>
    </row>
    <row r="2" ht="28" customHeight="1">
      <c r="A2" s="6" t="inlineStr">
        <is>
          <t>日期</t>
        </is>
      </c>
      <c r="B2" s="6" t="inlineStr">
        <is>
          <t>上证%</t>
        </is>
      </c>
      <c r="C2" s="6" t="inlineStr">
        <is>
          <t>深成%</t>
        </is>
      </c>
      <c r="D2" s="6" t="inlineStr">
        <is>
          <t>创业板%</t>
        </is>
      </c>
      <c r="E2" s="6" t="inlineStr">
        <is>
          <t>两市成交额(亿元)</t>
        </is>
      </c>
      <c r="F2" s="6" t="inlineStr">
        <is>
          <t>较昨日增减(亿元)</t>
        </is>
      </c>
      <c r="G2" s="6" t="inlineStr">
        <is>
          <t>上涨家数</t>
        </is>
      </c>
      <c r="H2" s="6" t="inlineStr">
        <is>
          <t>市场状态</t>
        </is>
      </c>
      <c r="I2" s="6" t="inlineStr">
        <is>
          <t>涨停数</t>
        </is>
      </c>
      <c r="J2" s="6" t="inlineStr">
        <is>
          <t>跌停数</t>
        </is>
      </c>
      <c r="K2" s="6" t="inlineStr">
        <is>
          <t>北向/替代资金(亿元)</t>
        </is>
      </c>
      <c r="L2" s="6" t="inlineStr">
        <is>
          <t>情绪评分(1-10)</t>
        </is>
      </c>
      <c r="M2" s="6" t="inlineStr">
        <is>
          <t>建议仓位</t>
        </is>
      </c>
      <c r="N2" s="6" t="inlineStr">
        <is>
          <t>最强方向</t>
        </is>
      </c>
      <c r="O2" s="6" t="inlineStr">
        <is>
          <t>资金流入方向</t>
        </is>
      </c>
      <c r="P2" s="6" t="inlineStr">
        <is>
          <t>资金流出方向</t>
        </is>
      </c>
      <c r="Q2" s="6" t="inlineStr">
        <is>
          <t>一句话复盘</t>
        </is>
      </c>
    </row>
    <row r="3">
      <c r="A3" s="2" t="inlineStr">
        <is>
          <t>2026-06-16</t>
        </is>
      </c>
      <c r="B3" s="3" t="n">
        <v>-0.0011</v>
      </c>
      <c r="C3" s="3" t="n">
        <v>0.009300000000000001</v>
      </c>
      <c r="D3" s="3" t="n">
        <v>0.0172</v>
      </c>
      <c r="E3" s="3" t="n">
        <v>30646.96</v>
      </c>
      <c r="F3" s="3" t="n"/>
      <c r="G3" s="3" t="n"/>
      <c r="H3" s="3" t="inlineStr">
        <is>
          <t>震荡偏强</t>
        </is>
      </c>
      <c r="I3" s="3" t="n">
        <v>100</v>
      </c>
      <c r="J3" s="3" t="n">
        <v>0</v>
      </c>
      <c r="K3" s="3" t="n">
        <v>0</v>
      </c>
      <c r="L3" s="3" t="n">
        <v>6.5</v>
      </c>
      <c r="M3" s="3" t="inlineStr">
        <is>
          <t>3-5成</t>
        </is>
      </c>
      <c r="N3" s="3" t="inlineStr">
        <is>
          <t>专精特新、铜连接/高速连接、PCB</t>
        </is>
      </c>
      <c r="O3" s="3" t="inlineStr"/>
      <c r="P3" s="3" t="n"/>
      <c r="Q3" s="3" t="inlineStr">
        <is>
          <t>市场震荡偏强，指数分化但创业板较强，两市成交额约30646.96亿元，个股宽度使用排行样本估算，强势样本中涨停/20cm个股活跃。当前强势方向：专精特新。</t>
        </is>
      </c>
    </row>
    <row r="4">
      <c r="A4" s="2" t="inlineStr">
        <is>
          <t>2026-06-17</t>
        </is>
      </c>
      <c r="B4" s="3" t="n">
        <v>0.004</v>
      </c>
      <c r="C4" s="3" t="n">
        <v>0.0131</v>
      </c>
      <c r="D4" s="3" t="n">
        <v>0.0156</v>
      </c>
      <c r="E4" s="3" t="n">
        <v>30917.64</v>
      </c>
      <c r="F4" s="3" t="n"/>
      <c r="G4" s="3" t="n"/>
      <c r="H4" s="3" t="inlineStr">
        <is>
          <t>震荡偏强</t>
        </is>
      </c>
      <c r="I4" s="3" t="n">
        <v>92</v>
      </c>
      <c r="J4" s="3" t="n">
        <v>0</v>
      </c>
      <c r="K4" s="3" t="n">
        <v>0</v>
      </c>
      <c r="L4" s="3" t="n">
        <v>6.5</v>
      </c>
      <c r="M4" s="3" t="inlineStr">
        <is>
          <t>3-5成</t>
        </is>
      </c>
      <c r="N4" s="3" t="inlineStr">
        <is>
          <t>新材料/化工、医药/消费、PCB</t>
        </is>
      </c>
      <c r="O4" s="3" t="inlineStr"/>
      <c r="P4" s="3" t="n"/>
      <c r="Q4" s="3" t="inlineStr">
        <is>
          <t>市场震荡偏强，指数分化但创业板较强，两市成交额约30917.64亿元，个股宽度使用排行样本估算，强势样本中涨停/20cm个股活跃。当前强势方向：新材料/化工。</t>
        </is>
      </c>
    </row>
    <row r="5">
      <c r="A5" s="2" t="inlineStr">
        <is>
          <t>2026-06-18</t>
        </is>
      </c>
      <c r="B5" s="3" t="n">
        <v>-0.0043</v>
      </c>
      <c r="C5" s="3" t="n">
        <v>0.009399999999999999</v>
      </c>
      <c r="D5" s="3" t="n">
        <v>0.0205</v>
      </c>
      <c r="E5" s="3" t="n">
        <v>33101.07</v>
      </c>
      <c r="F5" s="3" t="n"/>
      <c r="G5" s="3" t="n"/>
      <c r="H5" s="3" t="inlineStr">
        <is>
          <t>震荡偏强</t>
        </is>
      </c>
      <c r="I5" s="3" t="n">
        <v>96</v>
      </c>
      <c r="J5" s="3" t="n">
        <v>0</v>
      </c>
      <c r="K5" s="3" t="n">
        <v>0</v>
      </c>
      <c r="L5" s="3" t="n">
        <v>6.5</v>
      </c>
      <c r="M5" s="3" t="inlineStr">
        <is>
          <t>3-5成</t>
        </is>
      </c>
      <c r="N5" s="3" t="inlineStr">
        <is>
          <t>新材料/化工、半导体设备/先进封装、其他涨停</t>
        </is>
      </c>
      <c r="O5" s="3" t="inlineStr"/>
      <c r="P5" s="3" t="n"/>
      <c r="Q5" s="3" t="inlineStr">
        <is>
          <t>市场震荡偏强，指数分化但创业板较强，两市成交额约33101.07亿元，个股宽度使用排行样本估算，强势样本中涨停/20cm个股活跃。当前强势方向：新材料/化工。</t>
        </is>
      </c>
    </row>
    <row r="6">
      <c r="A6" s="2" t="inlineStr">
        <is>
          <t>2026-06-19</t>
        </is>
      </c>
      <c r="B6" s="3" t="n">
        <v>-0.0043</v>
      </c>
      <c r="C6" s="3" t="n">
        <v>0.009399999999999999</v>
      </c>
      <c r="D6" s="3" t="n">
        <v>0.0205</v>
      </c>
      <c r="E6" s="3" t="n">
        <v>33101.07</v>
      </c>
      <c r="F6" s="3" t="n"/>
      <c r="G6" s="3" t="n"/>
      <c r="H6" s="3" t="inlineStr">
        <is>
          <t>震荡偏强</t>
        </is>
      </c>
      <c r="I6" s="3" t="n">
        <v>96</v>
      </c>
      <c r="J6" s="3" t="n">
        <v>0</v>
      </c>
      <c r="K6" s="3" t="n">
        <v>0</v>
      </c>
      <c r="L6" s="3" t="n">
        <v>6.5</v>
      </c>
      <c r="M6" s="3" t="inlineStr">
        <is>
          <t>3-5成</t>
        </is>
      </c>
      <c r="N6" s="3" t="inlineStr">
        <is>
          <t>新材料/化工、半导体设备/先进封装、其他涨停</t>
        </is>
      </c>
      <c r="O6" s="3" t="inlineStr"/>
      <c r="P6" s="3" t="n"/>
      <c r="Q6" s="3" t="inlineStr">
        <is>
          <t>市场震荡偏强，指数分化但创业板较强，两市成交额约33101.07亿元，个股宽度使用排行样本估算，强势样本中涨停/20cm个股活跃。当前强势方向：新材料/化工。</t>
        </is>
      </c>
    </row>
    <row r="7">
      <c r="A7" s="2" t="inlineStr">
        <is>
          <t>2026-06-22</t>
        </is>
      </c>
      <c r="B7" s="3" t="n">
        <v>0.0178</v>
      </c>
      <c r="C7" s="3" t="n">
        <v>0.0213</v>
      </c>
      <c r="D7" s="3" t="n">
        <v>0.0252</v>
      </c>
      <c r="E7" s="3" t="n">
        <v>37371.99</v>
      </c>
      <c r="F7" s="3" t="n"/>
      <c r="G7" s="3" t="n"/>
      <c r="H7" s="3" t="inlineStr">
        <is>
          <t>震荡偏强</t>
        </is>
      </c>
      <c r="I7" s="3" t="n">
        <v>140</v>
      </c>
      <c r="J7" s="3" t="n">
        <v>0</v>
      </c>
      <c r="K7" s="3" t="n">
        <v>0</v>
      </c>
      <c r="L7" s="3" t="n">
        <v>6.5</v>
      </c>
      <c r="M7" s="3" t="inlineStr">
        <is>
          <t>3-5成</t>
        </is>
      </c>
      <c r="N7" s="3" t="inlineStr">
        <is>
          <t>PCB、其他涨停</t>
        </is>
      </c>
      <c r="O7" s="3" t="inlineStr"/>
      <c r="P7" s="3" t="n"/>
      <c r="Q7" s="3" t="inlineStr">
        <is>
          <t>市场震荡偏强，指数分化但创业板较强，两市成交额约37371.99亿元，个股宽度使用排行样本估算，强势样本中涨停/20cm个股活跃。当前强势方向：PCB。</t>
        </is>
      </c>
    </row>
    <row r="8">
      <c r="A8" s="2" t="inlineStr">
        <is>
          <t>2026-06-23</t>
        </is>
      </c>
      <c r="B8" s="3" t="n">
        <v>-0.0137</v>
      </c>
      <c r="C8" s="3" t="n">
        <v>-0.0317</v>
      </c>
      <c r="D8" s="3" t="n">
        <v>-0.0384</v>
      </c>
      <c r="E8" s="3" t="n">
        <v>34407.64</v>
      </c>
      <c r="F8" s="3" t="n"/>
      <c r="G8" s="3" t="n"/>
      <c r="H8" s="3" t="inlineStr">
        <is>
          <t>震荡偏弱</t>
        </is>
      </c>
      <c r="I8" s="3" t="n">
        <v>99</v>
      </c>
      <c r="J8" s="3" t="n">
        <v>0</v>
      </c>
      <c r="K8" s="3" t="n">
        <v>0</v>
      </c>
      <c r="L8" s="3" t="n">
        <v>5</v>
      </c>
      <c r="M8" s="3" t="inlineStr">
        <is>
          <t>1-2成</t>
        </is>
      </c>
      <c r="N8" s="3" t="inlineStr">
        <is>
          <t>其他涨停</t>
        </is>
      </c>
      <c r="O8" s="3" t="inlineStr"/>
      <c r="P8" s="3" t="n"/>
      <c r="Q8" s="3" t="inlineStr">
        <is>
          <t>市场震荡偏弱，指数分化但创业板较强，两市成交额约34407.64亿元，个股宽度使用排行样本估算，强势样本中涨停/20cm个股活跃。当前强势方向：其他涨停。</t>
        </is>
      </c>
    </row>
    <row r="9">
      <c r="A9" s="2" t="inlineStr">
        <is>
          <t>2026-06-24</t>
        </is>
      </c>
      <c r="B9" s="3" t="n">
        <v>0.0011</v>
      </c>
      <c r="C9" s="3" t="n">
        <v>0.0124</v>
      </c>
      <c r="D9" s="3" t="n">
        <v>0.0141</v>
      </c>
      <c r="E9" s="3" t="n">
        <v>32843.28</v>
      </c>
      <c r="F9" s="3" t="n"/>
      <c r="G9" s="3" t="n"/>
      <c r="H9" s="3" t="inlineStr">
        <is>
          <t>震荡偏强</t>
        </is>
      </c>
      <c r="I9" s="3" t="n">
        <v>101</v>
      </c>
      <c r="J9" s="3" t="n">
        <v>0</v>
      </c>
      <c r="K9" s="3" t="n">
        <v>0</v>
      </c>
      <c r="L9" s="3" t="n">
        <v>6.5</v>
      </c>
      <c r="M9" s="3" t="inlineStr">
        <is>
          <t>3-5成</t>
        </is>
      </c>
      <c r="N9" s="3" t="inlineStr">
        <is>
          <t>新材料/化工、复合材料、PCB</t>
        </is>
      </c>
      <c r="O9" s="3" t="inlineStr"/>
      <c r="P9" s="3" t="n"/>
      <c r="Q9" s="3" t="inlineStr">
        <is>
          <t>市场震荡偏强，指数分化但创业板较强，两市成交额约32843.28亿元，个股宽度使用排行样本估算，强势样本中涨停/20cm个股活跃。当前强势方向：新材料/化工。</t>
        </is>
      </c>
    </row>
    <row r="10">
      <c r="A10" s="2" t="inlineStr">
        <is>
          <t>2026-06-25</t>
        </is>
      </c>
      <c r="B10" s="3" t="n">
        <v>0.0023</v>
      </c>
      <c r="C10" s="3" t="n">
        <v>0.0182</v>
      </c>
      <c r="D10" s="3" t="n">
        <v>0.0284</v>
      </c>
      <c r="E10" s="3" t="n">
        <v>35942.88</v>
      </c>
      <c r="F10" s="3" t="n"/>
      <c r="G10" s="3" t="n"/>
      <c r="H10" s="3" t="inlineStr">
        <is>
          <t>震荡偏强</t>
        </is>
      </c>
      <c r="I10" s="3" t="n">
        <v>91</v>
      </c>
      <c r="J10" s="3" t="n">
        <v>0</v>
      </c>
      <c r="K10" s="3" t="n">
        <v>0</v>
      </c>
      <c r="L10" s="3" t="n">
        <v>6.5</v>
      </c>
      <c r="M10" s="3" t="inlineStr">
        <is>
          <t>3-5成</t>
        </is>
      </c>
      <c r="N10" s="3" t="inlineStr">
        <is>
          <t>新材料/化工、PCB、复合材料</t>
        </is>
      </c>
      <c r="O10" s="3" t="inlineStr"/>
      <c r="P10" s="3" t="n"/>
      <c r="Q10" s="3" t="inlineStr">
        <is>
          <t>市场震荡偏强，指数分化但创业板较强，两市成交额约35942.88亿元，个股宽度使用排行样本估算，强势样本中涨停/20cm个股活跃。当前强势方向：新材料/化工。</t>
        </is>
      </c>
    </row>
    <row r="11">
      <c r="A11" s="2" t="inlineStr">
        <is>
          <t>2026-06-26</t>
        </is>
      </c>
      <c r="B11" s="3" t="n">
        <v>-0.0226</v>
      </c>
      <c r="C11" s="3" t="n">
        <v>-0.0344</v>
      </c>
      <c r="D11" s="3" t="n">
        <v>-0.0407</v>
      </c>
      <c r="E11" s="3" t="n">
        <v>35524.1</v>
      </c>
      <c r="F11" s="3" t="n"/>
      <c r="G11" s="3" t="n"/>
      <c r="H11" s="3" t="inlineStr">
        <is>
          <t>震荡偏弱</t>
        </is>
      </c>
      <c r="I11" s="3" t="n">
        <v>63</v>
      </c>
      <c r="J11" s="3" t="n">
        <v>0</v>
      </c>
      <c r="K11" s="3" t="n">
        <v>0</v>
      </c>
      <c r="L11" s="3" t="n">
        <v>5</v>
      </c>
      <c r="M11" s="3" t="inlineStr">
        <is>
          <t>1-2成</t>
        </is>
      </c>
      <c r="N11" s="3" t="inlineStr">
        <is>
          <t>面板/显示、其他涨停</t>
        </is>
      </c>
      <c r="O11" s="3" t="inlineStr"/>
      <c r="P11" s="3" t="n"/>
      <c r="Q11" s="3" t="inlineStr">
        <is>
          <t>市场震荡偏弱，指数分化但创业板较强，两市成交额约35524.1亿元，个股宽度使用排行样本估算，强势样本中涨停/20cm个股活跃。当前强势方向：面板/显示。</t>
        </is>
      </c>
    </row>
    <row r="12">
      <c r="A12" s="2" t="inlineStr">
        <is>
          <t>2026-06-29</t>
        </is>
      </c>
      <c r="B12" s="3" t="n">
        <v>0.0116</v>
      </c>
      <c r="C12" s="3" t="n">
        <v>0.0019</v>
      </c>
      <c r="D12" s="3" t="n">
        <v>0.0054</v>
      </c>
      <c r="E12" s="3" t="n">
        <v>35177.54</v>
      </c>
      <c r="F12" s="3" t="n"/>
      <c r="G12" s="3" t="n"/>
      <c r="H12" s="3" t="inlineStr">
        <is>
          <t>震荡偏强</t>
        </is>
      </c>
      <c r="I12" s="3" t="n">
        <v>113</v>
      </c>
      <c r="J12" s="3" t="n">
        <v>0</v>
      </c>
      <c r="K12" s="3" t="n">
        <v>0</v>
      </c>
      <c r="L12" s="3" t="n">
        <v>6.5</v>
      </c>
      <c r="M12" s="3" t="inlineStr">
        <is>
          <t>3-5成</t>
        </is>
      </c>
      <c r="N12" s="3" t="inlineStr">
        <is>
          <t>其他涨停</t>
        </is>
      </c>
      <c r="O12" s="3" t="inlineStr"/>
      <c r="P12" s="3" t="n"/>
      <c r="Q12" s="3" t="inlineStr">
        <is>
          <t>市场震荡偏强，指数分化但创业板较强，两市成交额约35177.54亿元，个股宽度使用排行样本估算，强势样本中涨停/20cm个股活跃。当前强势方向：其他涨停。</t>
        </is>
      </c>
    </row>
    <row r="13">
      <c r="A13" s="2" t="inlineStr">
        <is>
          <t>2026-06-30</t>
        </is>
      </c>
      <c r="B13" s="3" t="n">
        <v>0.005</v>
      </c>
      <c r="C13" s="3" t="n">
        <v>0.0248</v>
      </c>
      <c r="D13" s="3" t="n">
        <v>0.0299</v>
      </c>
      <c r="E13" s="3" t="n">
        <v>32737.58</v>
      </c>
      <c r="F13" s="3" t="n"/>
      <c r="G13" s="3" t="n"/>
      <c r="H13" s="3" t="inlineStr">
        <is>
          <t>震荡偏强</t>
        </is>
      </c>
      <c r="I13" s="3" t="n">
        <v>144</v>
      </c>
      <c r="J13" s="3" t="n">
        <v>0</v>
      </c>
      <c r="K13" s="3" t="n">
        <v>0</v>
      </c>
      <c r="L13" s="3" t="n">
        <v>6.5</v>
      </c>
      <c r="M13" s="3" t="inlineStr">
        <is>
          <t>3-5成</t>
        </is>
      </c>
      <c r="N13" s="3" t="inlineStr">
        <is>
          <t>面板/显示、其他涨停</t>
        </is>
      </c>
      <c r="O13" s="3" t="inlineStr"/>
      <c r="P13" s="3" t="n"/>
      <c r="Q13" s="3" t="inlineStr">
        <is>
          <t>市场震荡偏强，指数分化但创业板较强，两市成交额约32737.58亿元，个股宽度使用排行样本估算，强势样本中涨停/20cm个股活跃。当前强势方向：面板/显示。</t>
        </is>
      </c>
    </row>
    <row r="14">
      <c r="A14" s="2" t="inlineStr">
        <is>
          <t>2026-07-01</t>
        </is>
      </c>
      <c r="B14" s="3" t="n">
        <v>0.0044</v>
      </c>
      <c r="C14" s="3" t="n">
        <v>-0.0053</v>
      </c>
      <c r="D14" s="3" t="n">
        <v>-0.0189</v>
      </c>
      <c r="E14" s="3" t="n">
        <v>36600.04</v>
      </c>
      <c r="F14" s="3" t="n"/>
      <c r="G14" s="3" t="n"/>
      <c r="H14" s="3" t="inlineStr">
        <is>
          <t>震荡偏弱</t>
        </is>
      </c>
      <c r="I14" s="3" t="n">
        <v>155</v>
      </c>
      <c r="J14" s="3" t="n">
        <v>0</v>
      </c>
      <c r="K14" s="3" t="n">
        <v>0</v>
      </c>
      <c r="L14" s="3" t="n">
        <v>5</v>
      </c>
      <c r="M14" s="3" t="inlineStr">
        <is>
          <t>1-2成</t>
        </is>
      </c>
      <c r="N14" s="3" t="inlineStr">
        <is>
          <t>其他涨停</t>
        </is>
      </c>
      <c r="O14" s="3" t="inlineStr"/>
      <c r="P14" s="3" t="n"/>
      <c r="Q14" s="3" t="inlineStr">
        <is>
          <t>市场震荡偏弱，指数分化但创业板较强，两市成交额约36600.04亿元，个股宽度使用排行样本估算，强势样本中涨停/20cm个股活跃。当前强势方向：其他涨停。</t>
        </is>
      </c>
    </row>
    <row r="15">
      <c r="A15" s="2" t="inlineStr">
        <is>
          <t>2026-07-02</t>
        </is>
      </c>
      <c r="B15" s="3" t="n">
        <v>-0.0203</v>
      </c>
      <c r="C15" s="3" t="n">
        <v>-0.0385</v>
      </c>
      <c r="D15" s="3" t="n">
        <v>-0.0571</v>
      </c>
      <c r="E15" s="3" t="n">
        <v>34505.51</v>
      </c>
      <c r="F15" s="3" t="n"/>
      <c r="G15" s="3" t="n"/>
      <c r="H15" s="3" t="inlineStr">
        <is>
          <t>震荡偏弱</t>
        </is>
      </c>
      <c r="I15" s="3" t="n">
        <v>96</v>
      </c>
      <c r="J15" s="3" t="n">
        <v>0</v>
      </c>
      <c r="K15" s="3" t="n">
        <v>0</v>
      </c>
      <c r="L15" s="3" t="n">
        <v>5</v>
      </c>
      <c r="M15" s="3" t="inlineStr">
        <is>
          <t>1-2成</t>
        </is>
      </c>
      <c r="N15" s="3" t="inlineStr">
        <is>
          <t>其他涨停</t>
        </is>
      </c>
      <c r="O15" s="3" t="inlineStr"/>
      <c r="P15" s="3" t="n"/>
      <c r="Q15" s="3" t="inlineStr">
        <is>
          <t>市场震荡偏弱，指数分化但创业板较强，两市成交额约34505.51亿元，个股宽度使用排行样本估算，强势样本中涨停/20cm个股活跃。当前强势方向：其他涨停。</t>
        </is>
      </c>
    </row>
    <row r="16">
      <c r="A16" s="2" t="inlineStr">
        <is>
          <t>2026-07-03</t>
        </is>
      </c>
      <c r="B16" s="3" t="n">
        <v>0.0037</v>
      </c>
      <c r="C16" s="3" t="n">
        <v>0.0064</v>
      </c>
      <c r="D16" s="3" t="n">
        <v>0.0007000000000000001</v>
      </c>
      <c r="E16" s="3" t="n">
        <v>31824.54</v>
      </c>
      <c r="F16" s="3" t="n"/>
      <c r="G16" s="3" t="n"/>
      <c r="H16" s="3" t="inlineStr">
        <is>
          <t>震荡偏强</t>
        </is>
      </c>
      <c r="I16" s="3" t="n">
        <v>110</v>
      </c>
      <c r="J16" s="3" t="n">
        <v>0</v>
      </c>
      <c r="K16" s="3" t="n">
        <v>0</v>
      </c>
      <c r="L16" s="3" t="n">
        <v>6.5</v>
      </c>
      <c r="M16" s="3" t="inlineStr">
        <is>
          <t>3-5成</t>
        </is>
      </c>
      <c r="N16" s="3" t="inlineStr">
        <is>
          <t>其他涨停</t>
        </is>
      </c>
      <c r="O16" s="3" t="inlineStr"/>
      <c r="P16" s="3" t="n"/>
      <c r="Q16" s="3" t="inlineStr">
        <is>
          <t>市场震荡偏强，指数分化但创业板较强，两市成交额约31824.54亿元，个股宽度使用排行样本估算，强势样本中涨停/20cm个股活跃。当前强势方向：其他涨停。</t>
        </is>
      </c>
    </row>
    <row r="17">
      <c r="A17" s="2" t="inlineStr">
        <is>
          <t>2026-07-06</t>
        </is>
      </c>
      <c r="B17" s="3" t="n">
        <v>-0.0005999999999999999</v>
      </c>
      <c r="C17" s="3" t="n">
        <v>-0.0116</v>
      </c>
      <c r="D17" s="3" t="n">
        <v>-0.0177</v>
      </c>
      <c r="E17" s="3" t="n">
        <v>30911.24</v>
      </c>
      <c r="F17" s="3" t="n"/>
      <c r="G17" s="3" t="n"/>
      <c r="H17" s="3" t="inlineStr">
        <is>
          <t>震荡偏弱</t>
        </is>
      </c>
      <c r="I17" s="3" t="n">
        <v>67</v>
      </c>
      <c r="J17" s="3" t="n">
        <v>0</v>
      </c>
      <c r="K17" s="3" t="n">
        <v>0</v>
      </c>
      <c r="L17" s="3" t="n">
        <v>5</v>
      </c>
      <c r="M17" s="3" t="inlineStr">
        <is>
          <t>1-2成</t>
        </is>
      </c>
      <c r="N17" s="3" t="inlineStr">
        <is>
          <t>其他涨停</t>
        </is>
      </c>
      <c r="O17" s="3" t="inlineStr"/>
      <c r="P17" s="3" t="n"/>
      <c r="Q17" s="3" t="inlineStr">
        <is>
          <t>市场震荡偏弱，指数分化但创业板较强，两市成交额约30911.24亿元，个股宽度使用排行样本估算，强势样本中涨停/20cm个股活跃。当前强势方向：其他涨停。</t>
        </is>
      </c>
    </row>
    <row r="18">
      <c r="A18" s="2" t="inlineStr">
        <is>
          <t>2026-07-07</t>
        </is>
      </c>
      <c r="B18" s="3" t="n">
        <v>-0.0126</v>
      </c>
      <c r="C18" s="3" t="n">
        <v>-0.0124</v>
      </c>
      <c r="D18" s="3" t="n">
        <v>-0.009399999999999999</v>
      </c>
      <c r="E18" s="3" t="n">
        <v>25811.57</v>
      </c>
      <c r="F18" s="3" t="n"/>
      <c r="G18" s="3" t="n"/>
      <c r="H18" s="3" t="inlineStr">
        <is>
          <t>震荡偏弱</t>
        </is>
      </c>
      <c r="I18" s="3" t="n">
        <v>34</v>
      </c>
      <c r="J18" s="3" t="n">
        <v>0</v>
      </c>
      <c r="K18" s="3" t="n">
        <v>0</v>
      </c>
      <c r="L18" s="3" t="n">
        <v>5</v>
      </c>
      <c r="M18" s="3" t="inlineStr">
        <is>
          <t>1-2成</t>
        </is>
      </c>
      <c r="N18" s="3" t="inlineStr">
        <is>
          <t>其他涨停</t>
        </is>
      </c>
      <c r="O18" s="3" t="inlineStr"/>
      <c r="P18" s="3" t="n"/>
      <c r="Q18" s="3" t="inlineStr">
        <is>
          <t>市场震荡偏弱，指数分化但创业板较强，两市成交额约25811.57亿元，个股宽度使用排行样本估算，强势样本中涨停/20cm个股活跃。当前强势方向：其他涨停。</t>
        </is>
      </c>
    </row>
    <row r="19">
      <c r="A19" s="2" t="inlineStr">
        <is>
          <t>2026-07-08</t>
        </is>
      </c>
      <c r="B19" s="3" t="n">
        <v>-0.0049</v>
      </c>
      <c r="C19" s="3" t="n">
        <v>-0.0187</v>
      </c>
      <c r="D19" s="3" t="n">
        <v>-0.017</v>
      </c>
      <c r="E19" s="3" t="n">
        <v>25635.23</v>
      </c>
      <c r="F19" s="3" t="n"/>
      <c r="G19" s="3" t="n"/>
      <c r="H19" s="3" t="inlineStr">
        <is>
          <t>震荡偏弱</t>
        </is>
      </c>
      <c r="I19" s="3" t="n">
        <v>49</v>
      </c>
      <c r="J19" s="3" t="n">
        <v>0</v>
      </c>
      <c r="K19" s="3" t="n">
        <v>0</v>
      </c>
      <c r="L19" s="3" t="n">
        <v>5</v>
      </c>
      <c r="M19" s="3" t="inlineStr">
        <is>
          <t>1-2成</t>
        </is>
      </c>
      <c r="N19" s="3" t="inlineStr">
        <is>
          <t>其他涨停</t>
        </is>
      </c>
      <c r="O19" s="3" t="inlineStr"/>
      <c r="P19" s="3" t="n"/>
      <c r="Q19" s="3" t="inlineStr">
        <is>
          <t>市场震荡偏弱，指数分化但创业板较强，两市成交额约25635.23亿元，个股宽度使用排行样本估算，强势样本中涨停/20cm个股活跃。当前强势方向：其他涨停。</t>
        </is>
      </c>
    </row>
    <row r="20">
      <c r="A20" s="2" t="inlineStr">
        <is>
          <t>2026-07-09</t>
        </is>
      </c>
      <c r="B20" s="3" t="n">
        <v>0.0165</v>
      </c>
      <c r="C20" s="3" t="n">
        <v>0.0307</v>
      </c>
      <c r="D20" s="3" t="n">
        <v>0.0449</v>
      </c>
      <c r="E20" s="3" t="n">
        <v>29137.29</v>
      </c>
      <c r="F20" s="3" t="n"/>
      <c r="G20" s="3" t="n"/>
      <c r="H20" s="3" t="inlineStr">
        <is>
          <t>震荡偏强</t>
        </is>
      </c>
      <c r="I20" s="3" t="n">
        <v>76</v>
      </c>
      <c r="J20" s="3" t="n">
        <v>0</v>
      </c>
      <c r="K20" s="3" t="n">
        <v>0</v>
      </c>
      <c r="L20" s="3" t="n">
        <v>6.5</v>
      </c>
      <c r="M20" s="3" t="inlineStr">
        <is>
          <t>3-5成</t>
        </is>
      </c>
      <c r="N20" s="3" t="inlineStr">
        <is>
          <t>PCB、其他涨停</t>
        </is>
      </c>
      <c r="O20" s="3" t="inlineStr"/>
      <c r="P20" s="3" t="n"/>
      <c r="Q20" s="3" t="inlineStr">
        <is>
          <t>市场震荡偏强，指数分化但创业板较强，两市成交额约29137.29亿元，个股宽度使用排行样本估算，强势样本中涨停/20cm个股活跃。当前强势方向：PCB。</t>
        </is>
      </c>
    </row>
    <row r="21">
      <c r="A21" s="2" t="inlineStr">
        <is>
          <t>2026-07-10</t>
        </is>
      </c>
      <c r="B21" s="3" t="n">
        <v>-0.01</v>
      </c>
      <c r="C21" s="3" t="n">
        <v>-0.0229</v>
      </c>
      <c r="D21" s="3" t="n">
        <v>-0.0437</v>
      </c>
      <c r="E21" s="3" t="n">
        <v>33885.5</v>
      </c>
      <c r="F21" s="3" t="n"/>
      <c r="G21" s="3" t="n"/>
      <c r="H21" s="3" t="inlineStr">
        <is>
          <t>震荡偏弱</t>
        </is>
      </c>
      <c r="I21" s="3" t="n">
        <v>96</v>
      </c>
      <c r="J21" s="3" t="n">
        <v>0</v>
      </c>
      <c r="K21" s="3" t="n">
        <v>0</v>
      </c>
      <c r="L21" s="3" t="n">
        <v>5</v>
      </c>
      <c r="M21" s="3" t="inlineStr">
        <is>
          <t>1-2成</t>
        </is>
      </c>
      <c r="N21" s="3" t="inlineStr">
        <is>
          <t>其他涨停</t>
        </is>
      </c>
      <c r="O21" s="3" t="inlineStr"/>
      <c r="P21" s="3" t="n"/>
      <c r="Q21" s="3" t="inlineStr">
        <is>
          <t>市场震荡偏弱，指数分化但创业板较强，两市成交额约33885.5亿元，个股宽度使用排行样本估算，强势样本中涨停/20cm个股活跃。当前强势方向：其他涨停。</t>
        </is>
      </c>
    </row>
    <row r="22">
      <c r="A22" s="2" t="inlineStr">
        <is>
          <t>2026-07-13</t>
        </is>
      </c>
      <c r="B22" s="3" t="n">
        <v>-0.0206</v>
      </c>
      <c r="C22" s="3" t="n">
        <v>-0.0348</v>
      </c>
      <c r="D22" s="3" t="n">
        <v>-0.031</v>
      </c>
      <c r="E22" s="3" t="n">
        <v>28177.61</v>
      </c>
      <c r="F22" s="3" t="n"/>
      <c r="G22" s="3" t="n"/>
      <c r="H22" s="3" t="inlineStr">
        <is>
          <t>震荡偏弱</t>
        </is>
      </c>
      <c r="I22" s="3" t="n">
        <v>31</v>
      </c>
      <c r="J22" s="3" t="n">
        <v>0</v>
      </c>
      <c r="K22" s="3" t="n">
        <v>0</v>
      </c>
      <c r="L22" s="3" t="n">
        <v>5</v>
      </c>
      <c r="M22" s="3" t="inlineStr">
        <is>
          <t>1-2成</t>
        </is>
      </c>
      <c r="N22" s="3" t="inlineStr">
        <is>
          <t>其他涨停</t>
        </is>
      </c>
      <c r="O22" s="3" t="inlineStr"/>
      <c r="P22" s="3" t="n"/>
      <c r="Q22" s="3" t="inlineStr">
        <is>
          <t>市场震荡偏弱，指数分化但创业板较强，两市成交额约28177.61亿元，个股宽度使用排行样本估算，强势样本中涨停/20cm个股活跃。当前强势方向：其他涨停。</t>
        </is>
      </c>
    </row>
    <row r="23">
      <c r="A23" s="2" t="inlineStr">
        <is>
          <t>2026-07-14</t>
        </is>
      </c>
      <c r="B23" s="3" t="n">
        <v>0.0136</v>
      </c>
      <c r="C23" s="3" t="n">
        <v>0.0277</v>
      </c>
      <c r="D23" s="3" t="n">
        <v>0.0343</v>
      </c>
      <c r="E23" s="3" t="n">
        <v>27039.68</v>
      </c>
      <c r="F23" s="3" t="n"/>
      <c r="G23" s="3" t="n"/>
      <c r="H23" s="3" t="inlineStr">
        <is>
          <t>震荡偏强</t>
        </is>
      </c>
      <c r="I23" s="3" t="n">
        <v>85</v>
      </c>
      <c r="J23" s="3" t="n">
        <v>0</v>
      </c>
      <c r="K23" s="3" t="n">
        <v>0</v>
      </c>
      <c r="L23" s="3" t="n">
        <v>6.5</v>
      </c>
      <c r="M23" s="3" t="inlineStr">
        <is>
          <t>3-5成</t>
        </is>
      </c>
      <c r="N23" s="3" t="inlineStr">
        <is>
          <t>新材料/化工、PCB、其他涨停</t>
        </is>
      </c>
      <c r="O23" s="3" t="inlineStr"/>
      <c r="P23" s="3" t="n"/>
      <c r="Q23" s="3" t="inlineStr">
        <is>
          <t>市场震荡偏强，指数分化但创业板较强，两市成交额约27039.68亿元，个股宽度使用排行样本估算，强势样本中涨停/20cm个股活跃。当前强势方向：新材料/化工。</t>
        </is>
      </c>
    </row>
    <row r="24">
      <c r="A24" s="2" t="inlineStr">
        <is>
          <t>2026-07-15</t>
        </is>
      </c>
      <c r="B24" s="3" t="n">
        <v>-0.0029</v>
      </c>
      <c r="C24" s="3" t="n">
        <v>-0.0097</v>
      </c>
      <c r="D24" s="3" t="n">
        <v>-0.0121</v>
      </c>
      <c r="E24" s="3" t="n">
        <v>25711.54</v>
      </c>
      <c r="F24" s="3" t="n"/>
      <c r="G24" s="3" t="n"/>
      <c r="H24" s="3" t="inlineStr">
        <is>
          <t>震荡偏弱</t>
        </is>
      </c>
      <c r="I24" s="3" t="n">
        <v>73</v>
      </c>
      <c r="J24" s="3" t="n">
        <v>0</v>
      </c>
      <c r="K24" s="3" t="n">
        <v>0</v>
      </c>
      <c r="L24" s="3" t="n">
        <v>5</v>
      </c>
      <c r="M24" s="3" t="inlineStr">
        <is>
          <t>1-2成</t>
        </is>
      </c>
      <c r="N24" s="3" t="inlineStr">
        <is>
          <t>其他涨停</t>
        </is>
      </c>
      <c r="O24" s="3" t="inlineStr"/>
      <c r="P24" s="3" t="n"/>
      <c r="Q24" s="3" t="inlineStr">
        <is>
          <t>市场震荡偏弱，指数分化但创业板较强，两市成交额约25711.54亿元，个股宽度使用排行样本估算，强势样本中涨停/20cm个股活跃。当前强势方向：其他涨停。</t>
        </is>
      </c>
    </row>
    <row r="25">
      <c r="A25" s="2" t="inlineStr">
        <is>
          <t>2026-07-16</t>
        </is>
      </c>
      <c r="B25" s="3" t="n">
        <v>-0.0185</v>
      </c>
      <c r="C25" s="3" t="n">
        <v>-0.0197</v>
      </c>
      <c r="D25" s="3" t="n">
        <v>-0.0295</v>
      </c>
      <c r="E25" s="3" t="n">
        <v>24035.65</v>
      </c>
      <c r="F25" s="3" t="n"/>
      <c r="G25" s="3" t="n"/>
      <c r="H25" s="3" t="inlineStr">
        <is>
          <t>震荡偏弱</t>
        </is>
      </c>
      <c r="I25" s="3" t="n">
        <v>46</v>
      </c>
      <c r="J25" s="3" t="n">
        <v>0</v>
      </c>
      <c r="K25" s="3" t="n">
        <v>0</v>
      </c>
      <c r="L25" s="3" t="n">
        <v>5</v>
      </c>
      <c r="M25" s="3" t="inlineStr">
        <is>
          <t>1-2成</t>
        </is>
      </c>
      <c r="N25" s="3" t="inlineStr">
        <is>
          <t>其他涨停</t>
        </is>
      </c>
      <c r="O25" s="3" t="inlineStr"/>
      <c r="P25" s="3" t="n"/>
      <c r="Q25" s="3" t="inlineStr">
        <is>
          <t>市场震荡偏弱，指数分化但创业板较强，两市成交额约24035.65亿元，个股宽度使用排行样本估算，强势样本中涨停/20cm个股活跃。当前强势方向：其他涨停。</t>
        </is>
      </c>
    </row>
    <row r="26">
      <c r="A26" s="2" t="inlineStr">
        <is>
          <t>2026-07-17</t>
        </is>
      </c>
      <c r="B26" s="3" t="n">
        <v>-0.0305</v>
      </c>
      <c r="C26" s="3" t="n">
        <v>-0.05400000000000001</v>
      </c>
      <c r="D26" s="3" t="n">
        <v>-0.07150000000000001</v>
      </c>
      <c r="E26" s="3" t="n">
        <v>26549.59</v>
      </c>
      <c r="F26" s="3" t="n"/>
      <c r="G26" s="3" t="n"/>
      <c r="H26" s="3" t="inlineStr">
        <is>
          <t>震荡偏弱</t>
        </is>
      </c>
      <c r="I26" s="3" t="n">
        <v>33</v>
      </c>
      <c r="J26" s="3" t="n">
        <v>0</v>
      </c>
      <c r="K26" s="3" t="n">
        <v>0</v>
      </c>
      <c r="L26" s="3" t="n">
        <v>5</v>
      </c>
      <c r="M26" s="3" t="inlineStr">
        <is>
          <t>1-2成</t>
        </is>
      </c>
      <c r="N26" s="3" t="inlineStr">
        <is>
          <t>其他涨停</t>
        </is>
      </c>
      <c r="O26" s="3" t="inlineStr"/>
      <c r="P26" s="3" t="n"/>
      <c r="Q26" s="3" t="inlineStr">
        <is>
          <t>市场震荡偏弱，指数分化但创业板较强，两市成交额约26549.59亿元，个股宽度使用排行样本估算，强势样本中涨停/20cm个股活跃。当前强势方向：其他涨停。</t>
        </is>
      </c>
    </row>
    <row r="27">
      <c r="A27" s="2" t="inlineStr">
        <is>
          <t>2026-07-20</t>
        </is>
      </c>
      <c r="B27" s="3" t="n">
        <v>0.008500000000000001</v>
      </c>
      <c r="C27" s="3" t="n">
        <v>-0.0071</v>
      </c>
      <c r="D27" s="3" t="n">
        <v>0.0042</v>
      </c>
      <c r="E27" s="3" t="n">
        <v>27021.27</v>
      </c>
      <c r="F27" s="3" t="n"/>
      <c r="G27" s="3" t="n"/>
      <c r="H27" s="3" t="inlineStr">
        <is>
          <t>震荡</t>
        </is>
      </c>
      <c r="I27" s="3" t="n">
        <v>57</v>
      </c>
      <c r="J27" s="3" t="n">
        <v>0</v>
      </c>
      <c r="K27" s="3" t="n">
        <v>0</v>
      </c>
      <c r="L27" s="3" t="n">
        <v>5</v>
      </c>
      <c r="M27" s="3" t="inlineStr">
        <is>
          <t>2-4成</t>
        </is>
      </c>
      <c r="N27" s="3" t="inlineStr">
        <is>
          <t>其他涨停</t>
        </is>
      </c>
      <c r="O27" s="3" t="inlineStr"/>
      <c r="P27" s="3" t="n"/>
      <c r="Q27" s="3" t="inlineStr">
        <is>
          <t>市场震荡，指数分化但创业板较强，两市成交额约27021.27亿元，个股宽度使用排行样本估算，强势样本中涨停/20cm个股活跃。当前强势方向：其他涨停。</t>
        </is>
      </c>
    </row>
    <row r="28">
      <c r="A28" s="2" t="inlineStr">
        <is>
          <t>2026-07-21</t>
        </is>
      </c>
      <c r="B28" s="3" t="n">
        <v>0.0179</v>
      </c>
      <c r="C28" s="3" t="n">
        <v>0.0481</v>
      </c>
      <c r="D28" s="3" t="n">
        <v>0.07049999999999999</v>
      </c>
      <c r="E28" s="3" t="n">
        <v>29570.93</v>
      </c>
      <c r="F28" s="3" t="n"/>
      <c r="G28" s="3" t="n"/>
      <c r="H28" s="3" t="inlineStr">
        <is>
          <t>震荡偏强</t>
        </is>
      </c>
      <c r="I28" s="3" t="n">
        <v>125</v>
      </c>
      <c r="J28" s="3" t="n">
        <v>0</v>
      </c>
      <c r="K28" s="3" t="n">
        <v>0</v>
      </c>
      <c r="L28" s="3" t="n">
        <v>6.5</v>
      </c>
      <c r="M28" s="3" t="inlineStr">
        <is>
          <t>3-5成</t>
        </is>
      </c>
      <c r="N28" s="3" t="inlineStr">
        <is>
          <t>半导体、面板/显示、其他涨停</t>
        </is>
      </c>
      <c r="O28" s="3" t="inlineStr"/>
      <c r="P28" s="3" t="n"/>
      <c r="Q28" s="3" t="inlineStr">
        <is>
          <t>市场震荡偏强，指数分化但创业板较强，两市成交额约29570.93亿元，个股宽度使用排行样本估算，强势样本中涨停/20cm个股活跃。当前强势方向：半导体。</t>
        </is>
      </c>
    </row>
    <row r="29">
      <c r="A29" s="2" t="inlineStr">
        <is>
          <t>2026-07-22</t>
        </is>
      </c>
      <c r="B29" s="3" t="n">
        <v>0.0007000000000000001</v>
      </c>
      <c r="C29" s="3" t="n">
        <v>-0.0142</v>
      </c>
      <c r="D29" s="3" t="n">
        <v>-0.0323</v>
      </c>
      <c r="E29" s="3" t="n">
        <v>26533.45</v>
      </c>
      <c r="F29" s="3" t="n"/>
      <c r="G29" s="3" t="n"/>
      <c r="H29" s="3" t="inlineStr">
        <is>
          <t>震荡偏弱</t>
        </is>
      </c>
      <c r="I29" s="3" t="n">
        <v>49</v>
      </c>
      <c r="J29" s="3" t="n">
        <v>0</v>
      </c>
      <c r="K29" s="3" t="n">
        <v>0</v>
      </c>
      <c r="L29" s="3" t="n">
        <v>5</v>
      </c>
      <c r="M29" s="3" t="inlineStr">
        <is>
          <t>1-2成</t>
        </is>
      </c>
      <c r="N29" s="3" t="inlineStr">
        <is>
          <t>其他涨停</t>
        </is>
      </c>
      <c r="O29" s="3" t="inlineStr"/>
      <c r="P29" s="3" t="n"/>
      <c r="Q29" s="3" t="inlineStr">
        <is>
          <t>市场震荡偏弱，指数分化但创业板较强，两市成交额约26533.45亿元，个股宽度使用排行样本估算，强势样本中涨停/20cm个股活跃。当前强势方向：其他涨停。</t>
        </is>
      </c>
    </row>
    <row r="30">
      <c r="A30" s="2" t="inlineStr">
        <is>
          <t>2026-07-23</t>
        </is>
      </c>
      <c r="B30" s="3" t="n">
        <v>0.0025</v>
      </c>
      <c r="C30" s="3" t="n">
        <v>0.0044</v>
      </c>
      <c r="D30" s="3" t="n">
        <v>0.0025</v>
      </c>
      <c r="E30" s="3" t="n">
        <v>21953.01</v>
      </c>
      <c r="F30" s="3" t="n"/>
      <c r="G30" s="3" t="n"/>
      <c r="H30" s="3" t="inlineStr">
        <is>
          <t>震荡偏强</t>
        </is>
      </c>
      <c r="I30" s="3" t="n">
        <v>119</v>
      </c>
      <c r="J30" s="3" t="n">
        <v>0</v>
      </c>
      <c r="K30" s="3" t="n">
        <v>0</v>
      </c>
      <c r="L30" s="3" t="n">
        <v>6.5</v>
      </c>
      <c r="M30" s="3" t="inlineStr">
        <is>
          <t>3-5成</t>
        </is>
      </c>
      <c r="N30" s="3" t="inlineStr">
        <is>
          <t>其他涨停</t>
        </is>
      </c>
      <c r="O30" s="3" t="inlineStr"/>
      <c r="P30" s="3" t="n"/>
      <c r="Q30" s="3" t="inlineStr">
        <is>
          <t>市场震荡偏强，指数分化但创业板较强，两市成交额约21953.01亿元，个股宽度使用排行样本估算，强势样本中涨停/20cm个股活跃。当前强势方向：其他涨停。</t>
        </is>
      </c>
    </row>
    <row r="31">
      <c r="A31" s="2" t="inlineStr">
        <is>
          <t>2026-07-24</t>
        </is>
      </c>
      <c r="B31" s="3" t="n">
        <v>-0.0161</v>
      </c>
      <c r="C31" s="3" t="n">
        <v>-0.0247</v>
      </c>
      <c r="D31" s="3" t="n">
        <v>-0.0265</v>
      </c>
      <c r="E31" s="3" t="n">
        <v>19311.4</v>
      </c>
      <c r="F31" s="3" t="n"/>
      <c r="G31" s="3" t="n"/>
      <c r="H31" s="3" t="inlineStr">
        <is>
          <t>震荡偏弱</t>
        </is>
      </c>
      <c r="I31" s="3" t="n">
        <v>42</v>
      </c>
      <c r="J31" s="3" t="n">
        <v>0</v>
      </c>
      <c r="K31" s="3" t="n">
        <v>0</v>
      </c>
      <c r="L31" s="3" t="n">
        <v>5</v>
      </c>
      <c r="M31" s="3" t="inlineStr">
        <is>
          <t>1-2成</t>
        </is>
      </c>
      <c r="N31" s="3" t="inlineStr">
        <is>
          <t>医药/消费、其他涨停</t>
        </is>
      </c>
      <c r="O31" s="3" t="inlineStr"/>
      <c r="P31" s="3" t="n"/>
      <c r="Q31" s="3" t="inlineStr">
        <is>
          <t>市场震荡偏弱，指数分化但创业板较强，两市成交额约19311.4亿元，个股宽度使用排行样本估算，强势样本中涨停/20cm个股活跃。当前强势方向：医药/消费。</t>
        </is>
      </c>
    </row>
    <row r="32">
      <c r="A32" s="2" t="inlineStr">
        <is>
          <t>2026-07-27</t>
        </is>
      </c>
      <c r="B32" s="3" t="n">
        <v>0.0115</v>
      </c>
      <c r="C32" s="3" t="n">
        <v>0.0272</v>
      </c>
      <c r="D32" s="3" t="n">
        <v>0.0316</v>
      </c>
      <c r="E32" s="3" t="n">
        <v>20766.2</v>
      </c>
      <c r="F32" s="3" t="n"/>
      <c r="G32" s="3" t="n"/>
      <c r="H32" s="3" t="inlineStr">
        <is>
          <t>震荡偏强</t>
        </is>
      </c>
      <c r="I32" s="3" t="n">
        <v>114</v>
      </c>
      <c r="J32" s="3" t="n">
        <v>0</v>
      </c>
      <c r="K32" s="3" t="n">
        <v>0</v>
      </c>
      <c r="L32" s="3" t="n">
        <v>6.5</v>
      </c>
      <c r="M32" s="3" t="inlineStr">
        <is>
          <t>3-5成</t>
        </is>
      </c>
      <c r="N32" s="3" t="inlineStr">
        <is>
          <t>新材料/化工、复合材料、建材/玻璃</t>
        </is>
      </c>
      <c r="O32" s="3" t="inlineStr"/>
      <c r="P32" s="3" t="n"/>
      <c r="Q32" s="3" t="inlineStr">
        <is>
          <t>市场震荡偏强，指数分化但创业板较强，两市成交额约20766.2亿元，个股宽度使用排行样本估算，强势样本中涨停/20cm个股活跃。当前强势方向：新材料/化工。</t>
        </is>
      </c>
    </row>
    <row r="33">
      <c r="A33" s="2" t="inlineStr">
        <is>
          <t>2026-07-28</t>
        </is>
      </c>
      <c r="B33" s="3" t="n">
        <v>-0.0116</v>
      </c>
      <c r="C33" s="3" t="n">
        <v>-0.0452</v>
      </c>
      <c r="D33" s="3" t="n">
        <v>-0.0735</v>
      </c>
      <c r="E33" s="3" t="n">
        <v>20257.81</v>
      </c>
      <c r="F33" s="3" t="n"/>
      <c r="G33" s="3" t="n"/>
      <c r="H33" s="3" t="inlineStr">
        <is>
          <t>震荡偏弱</t>
        </is>
      </c>
      <c r="I33" s="3" t="n">
        <v>61</v>
      </c>
      <c r="J33" s="3" t="n">
        <v>0</v>
      </c>
      <c r="K33" s="3" t="n">
        <v>0</v>
      </c>
      <c r="L33" s="3" t="n">
        <v>5</v>
      </c>
      <c r="M33" s="3" t="inlineStr">
        <is>
          <t>1-2成</t>
        </is>
      </c>
      <c r="N33" s="3" t="inlineStr">
        <is>
          <t>其他涨停</t>
        </is>
      </c>
      <c r="O33" s="3" t="inlineStr"/>
      <c r="P33" s="3" t="n"/>
      <c r="Q33" s="3" t="inlineStr">
        <is>
          <t>市场震荡偏弱，指数分化但创业板较强，两市成交额约20257.81亿元，个股宽度使用排行样本估算，强势样本中涨停/20cm个股活跃。当前强势方向：其他涨停。</t>
        </is>
      </c>
    </row>
    <row r="34">
      <c r="A34" s="2" t="inlineStr">
        <is>
          <t>2026-07-29</t>
        </is>
      </c>
      <c r="B34" s="3" t="n">
        <v>0.004</v>
      </c>
      <c r="C34" s="3" t="n">
        <v>0.011</v>
      </c>
      <c r="D34" s="3" t="n">
        <v>0.0155</v>
      </c>
      <c r="E34" s="3" t="n">
        <v>22965.79</v>
      </c>
      <c r="F34" s="3" t="n"/>
      <c r="G34" s="3" t="n"/>
      <c r="H34" s="3" t="inlineStr">
        <is>
          <t>震荡偏强</t>
        </is>
      </c>
      <c r="I34" s="3" t="n">
        <v>82</v>
      </c>
      <c r="J34" s="3" t="n">
        <v>0</v>
      </c>
      <c r="K34" s="3" t="n">
        <v>0</v>
      </c>
      <c r="L34" s="3" t="n">
        <v>6.5</v>
      </c>
      <c r="M34" s="3" t="inlineStr">
        <is>
          <t>3-5成</t>
        </is>
      </c>
      <c r="N34" s="3" t="inlineStr">
        <is>
          <t>其他涨停</t>
        </is>
      </c>
      <c r="O34" s="3" t="inlineStr"/>
      <c r="P34" s="3" t="n"/>
      <c r="Q34" s="3" t="inlineStr">
        <is>
          <t>市场震荡偏强，指数分化但创业板较强，两市成交额约22965.79亿元，个股宽度使用排行样本估算，强势样本中涨停/20cm个股活跃。当前强势方向：其他涨停。</t>
        </is>
      </c>
    </row>
    <row r="35">
      <c r="A35" s="2" t="inlineStr">
        <is>
          <t>2026-07-30</t>
        </is>
      </c>
      <c r="B35" s="3" t="n">
        <v>-0.0062</v>
      </c>
      <c r="C35" s="3" t="n">
        <v>-0.0273</v>
      </c>
      <c r="D35" s="3" t="n">
        <v>-0.0397</v>
      </c>
      <c r="E35" s="3" t="n">
        <v>23428.09</v>
      </c>
      <c r="F35" s="3" t="n"/>
      <c r="G35" s="3" t="n"/>
      <c r="H35" s="3" t="inlineStr">
        <is>
          <t>震荡偏弱</t>
        </is>
      </c>
      <c r="I35" s="3" t="n">
        <v>53</v>
      </c>
      <c r="J35" s="3" t="n">
        <v>0</v>
      </c>
      <c r="K35" s="3" t="n">
        <v>0</v>
      </c>
      <c r="L35" s="3" t="n">
        <v>5</v>
      </c>
      <c r="M35" s="3" t="inlineStr">
        <is>
          <t>1-2成</t>
        </is>
      </c>
      <c r="N35" s="3" t="inlineStr">
        <is>
          <t>其他涨停</t>
        </is>
      </c>
      <c r="O35" s="3" t="inlineStr"/>
      <c r="P35" s="3" t="n"/>
      <c r="Q35" s="3" t="inlineStr">
        <is>
          <t>市场震荡偏弱，指数分化但创业板较强，两市成交额约23428.09亿元，个股宽度使用排行样本估算，强势样本中涨停/20cm个股活跃。当前强势方向：其他涨停。</t>
        </is>
      </c>
    </row>
    <row r="36">
      <c r="A36" s="2" t="inlineStr">
        <is>
          <t>2026-07-31</t>
        </is>
      </c>
      <c r="B36" s="3" t="n">
        <v>0.0072</v>
      </c>
      <c r="C36" s="3" t="n">
        <v>0.0221</v>
      </c>
      <c r="D36" s="3" t="n">
        <v>0.0306</v>
      </c>
      <c r="E36" s="3" t="n">
        <v>25419.48</v>
      </c>
      <c r="F36" s="3" t="n"/>
      <c r="G36" s="3" t="n"/>
      <c r="H36" s="3" t="inlineStr">
        <is>
          <t>震荡偏强</t>
        </is>
      </c>
      <c r="I36" s="3" t="n">
        <v>101</v>
      </c>
      <c r="J36" s="3" t="n">
        <v>0</v>
      </c>
      <c r="K36" s="3" t="n">
        <v>0</v>
      </c>
      <c r="L36" s="3" t="n">
        <v>6.5</v>
      </c>
      <c r="M36" s="3" t="inlineStr">
        <is>
          <t>3-5成</t>
        </is>
      </c>
      <c r="N36" s="3" t="inlineStr">
        <is>
          <t>医药/消费、新材料/化工、其他涨停</t>
        </is>
      </c>
      <c r="O36" s="3" t="inlineStr"/>
      <c r="P36" s="3" t="n"/>
      <c r="Q36" s="3" t="inlineStr">
        <is>
          <t>市场震荡偏强，指数分化但创业板较强，两市成交额约25419.48亿元，个股宽度使用排行样本估算，强势样本中涨停/20cm个股活跃。当前强势方向：医药/消费。</t>
        </is>
      </c>
    </row>
    <row r="37">
      <c r="A37" s="2" t="inlineStr">
        <is>
          <t>2026-08-03</t>
        </is>
      </c>
      <c r="B37" s="3" t="n">
        <v>-0.0059</v>
      </c>
      <c r="C37" s="3" t="n">
        <v>-0.009599999999999999</v>
      </c>
      <c r="D37" s="3" t="n">
        <v>-0.0124</v>
      </c>
      <c r="E37" s="3" t="n">
        <v>19973.86</v>
      </c>
      <c r="F37" s="3" t="n"/>
      <c r="G37" s="3" t="n"/>
      <c r="H37" s="3" t="inlineStr">
        <is>
          <t>震荡偏弱</t>
        </is>
      </c>
      <c r="I37" s="3" t="n">
        <v>76</v>
      </c>
      <c r="J37" s="3" t="n">
        <v>0</v>
      </c>
      <c r="K37" s="3" t="n">
        <v>0</v>
      </c>
      <c r="L37" s="3" t="n">
        <v>5</v>
      </c>
      <c r="M37" s="3" t="inlineStr">
        <is>
          <t>1-2成</t>
        </is>
      </c>
      <c r="N37" s="3" t="inlineStr">
        <is>
          <t>其他涨停</t>
        </is>
      </c>
      <c r="O37" s="3" t="inlineStr"/>
      <c r="P37" s="3" t="n"/>
      <c r="Q37" s="3" t="inlineStr">
        <is>
          <t>市场震荡偏弱，指数分化但创业板较强，两市成交额约19973.86亿元，个股宽度使用排行样本估算，强势样本中涨停/20cm个股活跃。当前强势方向：其他涨停。</t>
        </is>
      </c>
    </row>
    <row r="38">
      <c r="A38" s="2" t="inlineStr">
        <is>
          <t>2026-08-04</t>
        </is>
      </c>
      <c r="B38" s="3" t="n">
        <v>0.0033</v>
      </c>
      <c r="C38" s="3" t="n">
        <v>0.0325</v>
      </c>
      <c r="D38" s="3" t="n">
        <v>0.0564</v>
      </c>
      <c r="E38" s="3" t="n">
        <v>22135.92</v>
      </c>
      <c r="F38" s="3" t="n"/>
      <c r="G38" s="3" t="n"/>
      <c r="H38" s="3" t="inlineStr">
        <is>
          <t>震荡偏强</t>
        </is>
      </c>
      <c r="I38" s="3" t="n">
        <v>141</v>
      </c>
      <c r="J38" s="3" t="n">
        <v>0</v>
      </c>
      <c r="K38" s="3" t="n">
        <v>0</v>
      </c>
      <c r="L38" s="3" t="n">
        <v>6.5</v>
      </c>
      <c r="M38" s="3" t="inlineStr">
        <is>
          <t>3-5成</t>
        </is>
      </c>
      <c r="N38" s="3" t="inlineStr">
        <is>
          <t>PCB、新材料/化工、消费电子</t>
        </is>
      </c>
      <c r="O38" s="3" t="inlineStr"/>
      <c r="P38" s="3" t="n"/>
      <c r="Q38" s="3" t="inlineStr">
        <is>
          <t>市场震荡偏强，指数分化但创业板较强，两市成交额约22135.92亿元，个股宽度使用排行样本估算，强势样本中涨停/20cm个股活跃。当前强势方向：PCB。</t>
        </is>
      </c>
    </row>
    <row r="39">
      <c r="A39" s="2" t="inlineStr">
        <is>
          <t>2026-08-05</t>
        </is>
      </c>
      <c r="B39" s="3" t="n">
        <v>0.0147</v>
      </c>
      <c r="C39" s="3" t="n">
        <v>0.0186</v>
      </c>
      <c r="D39" s="3" t="n">
        <v>0.0132</v>
      </c>
      <c r="E39" s="3" t="n">
        <v>26596.35</v>
      </c>
      <c r="F39" s="3" t="n"/>
      <c r="G39" s="3" t="n"/>
      <c r="H39" s="3" t="inlineStr">
        <is>
          <t>震荡偏强</t>
        </is>
      </c>
      <c r="I39" s="3" t="n">
        <v>108</v>
      </c>
      <c r="J39" s="3" t="n">
        <v>0</v>
      </c>
      <c r="K39" s="3" t="n">
        <v>0</v>
      </c>
      <c r="L39" s="3" t="n">
        <v>6.5</v>
      </c>
      <c r="M39" s="3" t="inlineStr">
        <is>
          <t>3-5成</t>
        </is>
      </c>
      <c r="N39" s="3" t="inlineStr">
        <is>
          <t>半导体、新材料/化工、PCB</t>
        </is>
      </c>
      <c r="O39" s="3" t="inlineStr"/>
      <c r="P39" s="3" t="n"/>
      <c r="Q39" s="3" t="inlineStr">
        <is>
          <t>市场震荡偏强，指数分化但创业板较强，两市成交额约26596.35亿元，个股宽度使用排行样本估算，强势样本中涨停/20cm个股活跃。当前强势方向：半导体。</t>
        </is>
      </c>
    </row>
    <row r="40">
      <c r="A40" s="2" t="inlineStr">
        <is>
          <t>2026-08-06</t>
        </is>
      </c>
      <c r="B40" s="3" t="n">
        <v>0.005699999999999999</v>
      </c>
      <c r="C40" s="3" t="n">
        <v>-0.0024</v>
      </c>
      <c r="D40" s="3" t="n">
        <v>-0.005500000000000001</v>
      </c>
      <c r="E40" s="3" t="n">
        <v>25287.81</v>
      </c>
      <c r="F40" s="3" t="n"/>
      <c r="G40" s="3" t="n"/>
      <c r="H40" s="3" t="inlineStr">
        <is>
          <t>震荡</t>
        </is>
      </c>
      <c r="I40" s="3" t="n">
        <v>80</v>
      </c>
      <c r="J40" s="3" t="n">
        <v>0</v>
      </c>
      <c r="K40" s="3" t="n">
        <v>0</v>
      </c>
      <c r="L40" s="3" t="n">
        <v>5</v>
      </c>
      <c r="M40" s="3" t="inlineStr">
        <is>
          <t>2-4成</t>
        </is>
      </c>
      <c r="N40" s="3" t="inlineStr">
        <is>
          <t>半导体、其他涨停</t>
        </is>
      </c>
      <c r="O40" s="3" t="inlineStr"/>
      <c r="P40" s="3" t="n"/>
      <c r="Q40" s="3" t="inlineStr">
        <is>
          <t>市场震荡，指数分化但创业板较强，两市成交额约25287.81亿元，个股宽度使用排行样本估算，强势样本中涨停/20cm个股活跃。当前强势方向：半导体。</t>
        </is>
      </c>
    </row>
    <row r="41">
      <c r="A41" s="2" t="inlineStr">
        <is>
          <t>2026-08-10</t>
        </is>
      </c>
      <c r="B41" s="3" t="n">
        <v>0.0067</v>
      </c>
      <c r="C41" s="3" t="n">
        <v>0.0004</v>
      </c>
      <c r="D41" s="3" t="n">
        <v>-0.0073</v>
      </c>
      <c r="E41" s="3" t="n">
        <v>25231.03</v>
      </c>
      <c r="F41" s="3" t="n"/>
      <c r="G41" s="3" t="n"/>
      <c r="H41" s="3" t="inlineStr">
        <is>
          <t>震荡</t>
        </is>
      </c>
      <c r="I41" s="3" t="n">
        <v>99</v>
      </c>
      <c r="J41" s="3" t="n">
        <v>0</v>
      </c>
      <c r="K41" s="3" t="n">
        <v>0</v>
      </c>
      <c r="L41" s="3" t="n">
        <v>5</v>
      </c>
      <c r="M41" s="3" t="inlineStr">
        <is>
          <t>2-4成</t>
        </is>
      </c>
      <c r="N41" s="3" t="inlineStr">
        <is>
          <t>医药/消费、其他涨停</t>
        </is>
      </c>
      <c r="O41" s="3" t="inlineStr"/>
      <c r="P41" s="3" t="n"/>
      <c r="Q41" s="3" t="inlineStr">
        <is>
          <t>市场震荡，指数分化但创业板较强，两市成交额约25231.03亿元，个股宽度使用排行样本估算，强势样本中涨停/20cm个股活跃。当前强势方向：医药/消费。</t>
        </is>
      </c>
    </row>
    <row r="42">
      <c r="A42" s="2" t="inlineStr">
        <is>
          <t>2026-08-11</t>
        </is>
      </c>
      <c r="B42" s="3" t="n">
        <v>-0.008199999999999999</v>
      </c>
      <c r="C42" s="3" t="n">
        <v>-0.004</v>
      </c>
      <c r="D42" s="3" t="n">
        <v>0.0034</v>
      </c>
      <c r="E42" s="3" t="n">
        <v>23209.86</v>
      </c>
      <c r="F42" s="3" t="n"/>
      <c r="G42" s="3" t="n"/>
      <c r="H42" s="3" t="inlineStr">
        <is>
          <t>震荡偏弱</t>
        </is>
      </c>
      <c r="I42" s="3" t="n">
        <v>60</v>
      </c>
      <c r="J42" s="3" t="n">
        <v>0</v>
      </c>
      <c r="K42" s="3" t="n">
        <v>0</v>
      </c>
      <c r="L42" s="3" t="n">
        <v>5</v>
      </c>
      <c r="M42" s="3" t="inlineStr">
        <is>
          <t>1-2成</t>
        </is>
      </c>
      <c r="N42" s="3" t="inlineStr">
        <is>
          <t>其他涨停</t>
        </is>
      </c>
      <c r="O42" s="3" t="inlineStr"/>
      <c r="P42" s="3" t="n"/>
      <c r="Q42" s="3" t="inlineStr">
        <is>
          <t>市场震荡偏弱，指数分化但创业板较强，两市成交额约23209.86亿元，个股宽度使用排行样本估算，强势样本中涨停/20cm个股活跃。当前强势方向：其他涨停。</t>
        </is>
      </c>
    </row>
    <row r="43">
      <c r="A43" s="2" t="inlineStr">
        <is>
          <t>2026-08-12</t>
        </is>
      </c>
      <c r="B43" s="3" t="n">
        <v>0.0032</v>
      </c>
      <c r="C43" s="3" t="n">
        <v>0.0109</v>
      </c>
      <c r="D43" s="3" t="n">
        <v>0.0149</v>
      </c>
      <c r="E43" s="3" t="n">
        <v>21524.23</v>
      </c>
      <c r="F43" s="3" t="n"/>
      <c r="G43" s="3" t="n"/>
      <c r="H43" s="3" t="inlineStr">
        <is>
          <t>震荡偏强</t>
        </is>
      </c>
      <c r="I43" s="3" t="n">
        <v>94</v>
      </c>
      <c r="J43" s="3" t="n">
        <v>0</v>
      </c>
      <c r="K43" s="3" t="n">
        <v>0</v>
      </c>
      <c r="L43" s="3" t="n">
        <v>6.5</v>
      </c>
      <c r="M43" s="3" t="inlineStr">
        <is>
          <t>3-5成</t>
        </is>
      </c>
      <c r="N43" s="3" t="inlineStr">
        <is>
          <t>CPO/光通信、其他涨停</t>
        </is>
      </c>
      <c r="O43" s="3" t="inlineStr"/>
      <c r="P43" s="3" t="n"/>
      <c r="Q43" s="3" t="inlineStr">
        <is>
          <t>市场震荡偏强，指数分化但创业板较强，两市成交额约21524.23亿元，个股宽度使用排行样本估算，强势样本中涨停/20cm个股活跃。当前强势方向：CPO/光通信。</t>
        </is>
      </c>
    </row>
    <row r="44">
      <c r="A44" s="2" t="inlineStr">
        <is>
          <t>2026-08-13</t>
        </is>
      </c>
      <c r="B44" s="3" t="n">
        <v>-0.005</v>
      </c>
      <c r="C44" s="3" t="n">
        <v>-0.008699999999999999</v>
      </c>
      <c r="D44" s="3" t="n">
        <v>-0.004500000000000001</v>
      </c>
      <c r="E44" s="3" t="n">
        <v>25509.17</v>
      </c>
      <c r="F44" s="3" t="n"/>
      <c r="G44" s="3" t="n"/>
      <c r="H44" s="3" t="inlineStr">
        <is>
          <t>震荡偏弱</t>
        </is>
      </c>
      <c r="I44" s="3" t="n">
        <v>62</v>
      </c>
      <c r="J44" s="3" t="n">
        <v>0</v>
      </c>
      <c r="K44" s="3" t="n">
        <v>0</v>
      </c>
      <c r="L44" s="3" t="n">
        <v>5</v>
      </c>
      <c r="M44" s="3" t="inlineStr">
        <is>
          <t>1-2成</t>
        </is>
      </c>
      <c r="N44" s="3" t="inlineStr">
        <is>
          <t>其他涨停</t>
        </is>
      </c>
      <c r="O44" s="3" t="inlineStr"/>
      <c r="P44" s="3" t="n"/>
      <c r="Q44" s="3" t="inlineStr">
        <is>
          <t>市场震荡偏弱，指数分化但创业板较强，两市成交额约25509.17亿元，个股宽度使用排行样本估算，强势样本中涨停/20cm个股活跃。当前强势方向：其他涨停。</t>
        </is>
      </c>
    </row>
    <row r="45">
      <c r="A45" s="2" t="inlineStr">
        <is>
          <t>2026-08-14</t>
        </is>
      </c>
      <c r="B45" s="3" t="n">
        <v>0.0001</v>
      </c>
      <c r="C45" s="3" t="n">
        <v>0.004500000000000001</v>
      </c>
      <c r="D45" s="3" t="n">
        <v>0.0112</v>
      </c>
      <c r="E45" s="3" t="n">
        <v>21428.43</v>
      </c>
      <c r="F45" s="3" t="n"/>
      <c r="G45" s="3" t="n"/>
      <c r="H45" s="3" t="inlineStr">
        <is>
          <t>震荡偏强</t>
        </is>
      </c>
      <c r="I45" s="3" t="n">
        <v>63</v>
      </c>
      <c r="J45" s="3" t="n">
        <v>0</v>
      </c>
      <c r="K45" s="3" t="n">
        <v>0</v>
      </c>
      <c r="L45" s="3" t="n">
        <v>6.5</v>
      </c>
      <c r="M45" s="3" t="inlineStr">
        <is>
          <t>3-5成</t>
        </is>
      </c>
      <c r="N45" s="3" t="inlineStr">
        <is>
          <t>新材料/化工、其他涨停</t>
        </is>
      </c>
      <c r="O45" s="3" t="inlineStr"/>
      <c r="P45" s="3" t="n"/>
      <c r="Q45" s="3" t="inlineStr">
        <is>
          <t>市场震荡偏强，指数分化但创业板较强，两市成交额约21428.43亿元，个股宽度使用排行样本估算，强势样本中涨停/20cm个股活跃。当前强势方向：新材料/化工。</t>
        </is>
      </c>
    </row>
    <row r="46">
      <c r="A46" s="2" t="inlineStr">
        <is>
          <t>2026-08-17</t>
        </is>
      </c>
      <c r="B46" s="3" t="n">
        <v>0.0141</v>
      </c>
      <c r="C46" s="3" t="n">
        <v>0.0244</v>
      </c>
      <c r="D46" s="3" t="n">
        <v>0.0314</v>
      </c>
      <c r="E46" s="3" t="n">
        <v>23874.57</v>
      </c>
      <c r="F46" s="3" t="n"/>
      <c r="G46" s="3" t="n"/>
      <c r="H46" s="3" t="inlineStr">
        <is>
          <t>震荡偏强</t>
        </is>
      </c>
      <c r="I46" s="3" t="n">
        <v>107</v>
      </c>
      <c r="J46" s="3" t="n">
        <v>0</v>
      </c>
      <c r="K46" s="3" t="n">
        <v>0</v>
      </c>
      <c r="L46" s="3" t="n">
        <v>6.5</v>
      </c>
      <c r="M46" s="3" t="inlineStr">
        <is>
          <t>3-5成</t>
        </is>
      </c>
      <c r="N46" s="3" t="inlineStr">
        <is>
          <t>PCB、其他涨停</t>
        </is>
      </c>
      <c r="O46" s="3" t="inlineStr"/>
      <c r="P46" s="3" t="n"/>
      <c r="Q46" s="3" t="inlineStr">
        <is>
          <t>市场震荡偏强，指数分化但创业板较强，两市成交额约23874.57亿元，个股宽度使用排行样本估算，强势样本中涨停/20cm个股活跃。当前强势方向：PCB。</t>
        </is>
      </c>
    </row>
    <row r="47">
      <c r="A47" s="2" t="inlineStr">
        <is>
          <t>2026-08-18</t>
        </is>
      </c>
      <c r="B47" s="3" t="n">
        <v>0.0019</v>
      </c>
      <c r="C47" s="3" t="n">
        <v>-0.005600000000000001</v>
      </c>
      <c r="D47" s="3" t="n">
        <v>-0.009300000000000001</v>
      </c>
      <c r="E47" s="3" t="n">
        <v>24007.75</v>
      </c>
      <c r="F47" s="3" t="n"/>
      <c r="G47" s="3" t="n"/>
      <c r="H47" s="3" t="inlineStr">
        <is>
          <t>震荡偏弱</t>
        </is>
      </c>
      <c r="I47" s="3" t="n">
        <v>83</v>
      </c>
      <c r="J47" s="3" t="n">
        <v>0</v>
      </c>
      <c r="K47" s="3" t="n">
        <v>0</v>
      </c>
      <c r="L47" s="3" t="n">
        <v>5</v>
      </c>
      <c r="M47" s="3" t="inlineStr">
        <is>
          <t>1-2成</t>
        </is>
      </c>
      <c r="N47" s="3" t="inlineStr">
        <is>
          <t>其他涨停</t>
        </is>
      </c>
      <c r="O47" s="3" t="inlineStr"/>
      <c r="P47" s="3" t="n"/>
      <c r="Q47" s="3" t="inlineStr">
        <is>
          <t>市场震荡偏弱，指数分化但创业板较强，两市成交额约24007.75亿元，个股宽度使用排行样本估算，强势样本中涨停/20cm个股活跃。当前强势方向：其他涨停。</t>
        </is>
      </c>
    </row>
    <row r="48">
      <c r="A48" s="2" t="inlineStr">
        <is>
          <t>2026-08-19</t>
        </is>
      </c>
      <c r="B48" s="3" t="n">
        <v>-0.024</v>
      </c>
      <c r="C48" s="3" t="n">
        <v>-0.0501</v>
      </c>
      <c r="D48" s="3" t="n">
        <v>-0.0626</v>
      </c>
      <c r="E48" s="3" t="n">
        <v>25110.43</v>
      </c>
      <c r="F48" s="3" t="n"/>
      <c r="G48" s="3" t="n"/>
      <c r="H48" s="3" t="inlineStr">
        <is>
          <t>震荡偏弱</t>
        </is>
      </c>
      <c r="I48" s="3" t="n">
        <v>39</v>
      </c>
      <c r="J48" s="3" t="n">
        <v>0</v>
      </c>
      <c r="K48" s="3" t="n">
        <v>0</v>
      </c>
      <c r="L48" s="3" t="n">
        <v>5</v>
      </c>
      <c r="M48" s="3" t="inlineStr">
        <is>
          <t>1-2成</t>
        </is>
      </c>
      <c r="N48" s="3" t="inlineStr">
        <is>
          <t>其他涨停</t>
        </is>
      </c>
      <c r="O48" s="3" t="inlineStr"/>
      <c r="P48" s="3" t="n"/>
      <c r="Q48" s="3" t="inlineStr">
        <is>
          <t>市场震荡偏弱，指数分化但创业板较强，两市成交额约25110.43亿元，个股宽度使用排行样本估算，强势样本中涨停/20cm个股活跃。当前强势方向：其他涨停。</t>
        </is>
      </c>
    </row>
    <row r="49">
      <c r="A49" s="2" t="inlineStr">
        <is>
          <t>2026-08-20</t>
        </is>
      </c>
      <c r="B49" s="3" t="n">
        <v>0.0024</v>
      </c>
      <c r="C49" s="3" t="n">
        <v>0.0059</v>
      </c>
      <c r="D49" s="3" t="n">
        <v>0.0064</v>
      </c>
      <c r="E49" s="3" t="n">
        <v>20793.63</v>
      </c>
      <c r="F49" s="3" t="n"/>
      <c r="G49" s="3" t="n"/>
      <c r="H49" s="3" t="inlineStr">
        <is>
          <t>震荡偏强</t>
        </is>
      </c>
      <c r="I49" s="3" t="n">
        <v>81</v>
      </c>
      <c r="J49" s="3" t="n">
        <v>0</v>
      </c>
      <c r="K49" s="3" t="n">
        <v>0</v>
      </c>
      <c r="L49" s="3" t="n">
        <v>6.5</v>
      </c>
      <c r="M49" s="3" t="inlineStr">
        <is>
          <t>3-5成</t>
        </is>
      </c>
      <c r="N49" s="3" t="inlineStr">
        <is>
          <t>其他涨停</t>
        </is>
      </c>
      <c r="O49" s="3" t="inlineStr"/>
      <c r="P49" s="3" t="n"/>
      <c r="Q49" s="3" t="inlineStr">
        <is>
          <t>市场震荡偏强，指数分化但创业板较强，两市成交额约20793.63亿元，个股宽度使用排行样本估算，强势样本中涨停/20cm个股活跃。当前强势方向：其他涨停。</t>
        </is>
      </c>
    </row>
    <row r="50">
      <c r="A50" s="2" t="inlineStr">
        <is>
          <t>2026-08-21</t>
        </is>
      </c>
      <c r="B50" s="3" t="n">
        <v>0.0004</v>
      </c>
      <c r="C50" s="3" t="n">
        <v>0.008699999999999999</v>
      </c>
      <c r="D50" s="3" t="n">
        <v>0.0143</v>
      </c>
      <c r="E50" s="3" t="n">
        <v>18792.64</v>
      </c>
      <c r="F50" s="3" t="n"/>
      <c r="G50" s="3" t="n"/>
      <c r="H50" s="3" t="inlineStr">
        <is>
          <t>震荡偏强</t>
        </is>
      </c>
      <c r="I50" s="3" t="n">
        <v>56</v>
      </c>
      <c r="J50" s="3" t="n">
        <v>0</v>
      </c>
      <c r="K50" s="3" t="n">
        <v>0</v>
      </c>
      <c r="L50" s="3" t="n">
        <v>6.5</v>
      </c>
      <c r="M50" s="3" t="inlineStr">
        <is>
          <t>3-5成</t>
        </is>
      </c>
      <c r="N50" s="3" t="inlineStr">
        <is>
          <t>其他涨停</t>
        </is>
      </c>
      <c r="O50" s="3" t="inlineStr"/>
      <c r="P50" s="3" t="n"/>
      <c r="Q50" s="3" t="inlineStr">
        <is>
          <t>市场震荡偏强，指数分化但创业板较强，两市成交额约18792.64亿元，个股宽度使用排行样本估算，强势样本中涨停/20cm个股活跃。当前强势方向：其他涨停。</t>
        </is>
      </c>
    </row>
    <row r="51">
      <c r="A51" s="2" t="inlineStr">
        <is>
          <t>2026-08-24</t>
        </is>
      </c>
      <c r="B51" s="3" t="n">
        <v>-0.0059</v>
      </c>
      <c r="C51" s="3" t="n">
        <v>-0.0213</v>
      </c>
      <c r="D51" s="3" t="n">
        <v>-0.0321</v>
      </c>
      <c r="E51" s="3" t="n">
        <v>20074.56</v>
      </c>
      <c r="F51" s="3" t="n"/>
      <c r="G51" s="3" t="n"/>
      <c r="H51" s="3" t="inlineStr">
        <is>
          <t>震荡偏弱</t>
        </is>
      </c>
      <c r="I51" s="3" t="n">
        <v>47</v>
      </c>
      <c r="J51" s="3" t="n">
        <v>0</v>
      </c>
      <c r="K51" s="3" t="n">
        <v>0</v>
      </c>
      <c r="L51" s="3" t="n">
        <v>5</v>
      </c>
      <c r="M51" s="3" t="inlineStr">
        <is>
          <t>1-2成</t>
        </is>
      </c>
      <c r="N51" s="3" t="inlineStr">
        <is>
          <t>其他涨停</t>
        </is>
      </c>
      <c r="O51" s="3" t="inlineStr"/>
      <c r="P51" s="3" t="n"/>
      <c r="Q51" s="3" t="inlineStr">
        <is>
          <t>市场震荡偏弱，指数分化但创业板较强，两市成交额约20074.56亿元，个股宽度使用排行样本估算，强势样本中涨停/20cm个股活跃。当前强势方向：其他涨停。</t>
        </is>
      </c>
    </row>
    <row r="52">
      <c r="A52" s="2" t="inlineStr">
        <is>
          <t>2026-08-25</t>
        </is>
      </c>
      <c r="B52" s="3" t="n">
        <v>0.0019</v>
      </c>
      <c r="C52" s="3" t="n">
        <v>-0.0035</v>
      </c>
      <c r="D52" s="3" t="n">
        <v>-0.01</v>
      </c>
      <c r="E52" s="3" t="n">
        <v>18318.44</v>
      </c>
      <c r="F52" s="3" t="n"/>
      <c r="G52" s="3" t="n"/>
      <c r="H52" s="3" t="inlineStr">
        <is>
          <t>震荡偏弱</t>
        </is>
      </c>
      <c r="I52" s="3" t="n">
        <v>66</v>
      </c>
      <c r="J52" s="3" t="n">
        <v>0</v>
      </c>
      <c r="K52" s="3" t="n">
        <v>0</v>
      </c>
      <c r="L52" s="3" t="n">
        <v>5</v>
      </c>
      <c r="M52" s="3" t="inlineStr">
        <is>
          <t>1-2成</t>
        </is>
      </c>
      <c r="N52" s="3" t="inlineStr">
        <is>
          <t>其他涨停</t>
        </is>
      </c>
      <c r="O52" s="3" t="inlineStr"/>
      <c r="P52" s="3" t="n"/>
      <c r="Q52" s="3" t="inlineStr">
        <is>
          <t>市场震荡偏弱，指数分化但创业板较强，两市成交额约18318.44亿元，个股宽度使用排行样本估算，强势样本中涨停/20cm个股活跃。当前强势方向：其他涨停。</t>
        </is>
      </c>
    </row>
    <row r="53">
      <c r="A53" s="2" t="inlineStr">
        <is>
          <t>2026-08-27</t>
        </is>
      </c>
      <c r="B53" s="3" t="n">
        <v>0.0113</v>
      </c>
      <c r="C53" s="3" t="n">
        <v>0.015</v>
      </c>
      <c r="D53" s="3" t="n">
        <v>0.0171</v>
      </c>
      <c r="E53" s="3" t="n">
        <v>21259.27</v>
      </c>
      <c r="F53" s="3" t="n"/>
      <c r="G53" s="3" t="n"/>
      <c r="H53" s="3" t="inlineStr">
        <is>
          <t>震荡偏强</t>
        </is>
      </c>
      <c r="I53" s="3" t="n">
        <v>78</v>
      </c>
      <c r="J53" s="3" t="n">
        <v>0</v>
      </c>
      <c r="K53" s="3" t="n">
        <v>0</v>
      </c>
      <c r="L53" s="3" t="n">
        <v>6.5</v>
      </c>
      <c r="M53" s="3" t="inlineStr">
        <is>
          <t>3-5成</t>
        </is>
      </c>
      <c r="N53" s="3" t="inlineStr">
        <is>
          <t>其他涨停</t>
        </is>
      </c>
      <c r="O53" s="3" t="inlineStr"/>
      <c r="P53" s="3" t="n"/>
      <c r="Q53" s="3" t="inlineStr">
        <is>
          <t>市场震荡偏强，指数分化但创业板较强，两市成交额约21259.27亿元，个股宽度使用排行样本估算，强势样本中涨停/20cm个股活跃。当前强势方向：其他涨停。</t>
        </is>
      </c>
    </row>
    <row r="54">
      <c r="A54" s="2" t="inlineStr">
        <is>
          <t>2026-08-28</t>
        </is>
      </c>
      <c r="B54" s="3" t="n">
        <v>-0.0011</v>
      </c>
      <c r="C54" s="3" t="n">
        <v>-0.0068</v>
      </c>
      <c r="D54" s="3" t="n">
        <v>-0.0141</v>
      </c>
      <c r="E54" s="3" t="n">
        <v>21017.15</v>
      </c>
      <c r="F54" s="3" t="n"/>
      <c r="G54" s="3" t="n"/>
      <c r="H54" s="3" t="inlineStr">
        <is>
          <t>震荡偏弱</t>
        </is>
      </c>
      <c r="I54" s="3" t="n">
        <v>84</v>
      </c>
      <c r="J54" s="3" t="n">
        <v>0</v>
      </c>
      <c r="K54" s="3" t="n">
        <v>0</v>
      </c>
      <c r="L54" s="3" t="n">
        <v>5</v>
      </c>
      <c r="M54" s="3" t="inlineStr">
        <is>
          <t>1-2成</t>
        </is>
      </c>
      <c r="N54" s="3" t="inlineStr">
        <is>
          <t>其他涨停</t>
        </is>
      </c>
      <c r="O54" s="3" t="inlineStr"/>
      <c r="P54" s="3" t="n"/>
      <c r="Q54" s="3" t="inlineStr">
        <is>
          <t>市场震荡偏弱，指数分化但创业板较强，两市成交额约21017.15亿元，个股宽度使用排行样本估算，强势样本中涨停/20cm个股活跃。当前强势方向：其他涨停。</t>
        </is>
      </c>
    </row>
    <row r="55">
      <c r="A55" s="2" t="inlineStr">
        <is>
          <t>2026-08-31</t>
        </is>
      </c>
      <c r="B55" s="3" t="n">
        <v>0.0086</v>
      </c>
      <c r="C55" s="3" t="n">
        <v>0.0044</v>
      </c>
      <c r="D55" s="3" t="n">
        <v>0.0042</v>
      </c>
      <c r="E55" s="3" t="n">
        <v>21310.3</v>
      </c>
      <c r="F55" s="3" t="n"/>
      <c r="G55" s="3" t="n"/>
      <c r="H55" s="3" t="inlineStr">
        <is>
          <t>震荡偏强</t>
        </is>
      </c>
      <c r="I55" s="3" t="n">
        <v>88</v>
      </c>
      <c r="J55" s="3" t="n">
        <v>0</v>
      </c>
      <c r="K55" s="3" t="n">
        <v>0</v>
      </c>
      <c r="L55" s="3" t="n">
        <v>6.5</v>
      </c>
      <c r="M55" s="3" t="inlineStr">
        <is>
          <t>3-5成</t>
        </is>
      </c>
      <c r="N55" s="3" t="inlineStr">
        <is>
          <t>新材料/化工、其他涨停</t>
        </is>
      </c>
      <c r="O55" s="3" t="inlineStr"/>
      <c r="P55" s="3" t="n"/>
      <c r="Q55" s="3" t="inlineStr">
        <is>
          <t>市场震荡偏强，指数分化但创业板较强，两市成交额约21310.3亿元，个股宽度使用排行样本估算，强势样本中涨停/20cm个股活跃。当前强势方向：新材料/化工。</t>
        </is>
      </c>
    </row>
    <row r="56">
      <c r="A56" s="2" t="inlineStr">
        <is>
          <t>2026-09-01</t>
        </is>
      </c>
      <c r="B56" s="3" t="n">
        <v>-0.0016</v>
      </c>
      <c r="C56" s="3" t="n">
        <v>-0.0102</v>
      </c>
      <c r="D56" s="3" t="n">
        <v>-0.0132</v>
      </c>
      <c r="E56" s="3" t="n">
        <v>20334.03</v>
      </c>
      <c r="F56" s="3" t="n"/>
      <c r="G56" s="3" t="n"/>
      <c r="H56" s="3" t="inlineStr">
        <is>
          <t>震荡偏弱</t>
        </is>
      </c>
      <c r="I56" s="3" t="n">
        <v>87</v>
      </c>
      <c r="J56" s="3" t="n">
        <v>0</v>
      </c>
      <c r="K56" s="3" t="n">
        <v>0</v>
      </c>
      <c r="L56" s="3" t="n">
        <v>5</v>
      </c>
      <c r="M56" s="3" t="inlineStr">
        <is>
          <t>1-2成</t>
        </is>
      </c>
      <c r="N56" s="3" t="inlineStr">
        <is>
          <t>其他涨停</t>
        </is>
      </c>
      <c r="O56" s="3" t="inlineStr"/>
      <c r="P56" s="3" t="n"/>
      <c r="Q56" s="3" t="inlineStr">
        <is>
          <t>市场震荡偏弱，指数分化但创业板较强，两市成交额约20334.03亿元，个股宽度使用排行样本估算，强势样本中涨停/20cm个股活跃。当前强势方向：其他涨停。</t>
        </is>
      </c>
    </row>
    <row r="57">
      <c r="A57" s="2" t="inlineStr">
        <is>
          <t>2026-09-02</t>
        </is>
      </c>
      <c r="B57" s="3" t="n">
        <v>-0.0097</v>
      </c>
      <c r="C57" s="3" t="n">
        <v>-0.0188</v>
      </c>
      <c r="D57" s="3" t="n">
        <v>-0.0239</v>
      </c>
      <c r="E57" s="3" t="n">
        <v>17911.78</v>
      </c>
      <c r="F57" s="3" t="n"/>
      <c r="G57" s="3" t="n"/>
      <c r="H57" s="3" t="inlineStr">
        <is>
          <t>震荡偏弱</t>
        </is>
      </c>
      <c r="I57" s="3" t="n">
        <v>55</v>
      </c>
      <c r="J57" s="3" t="n">
        <v>0</v>
      </c>
      <c r="K57" s="3" t="n">
        <v>0</v>
      </c>
      <c r="L57" s="3" t="n">
        <v>5</v>
      </c>
      <c r="M57" s="3" t="inlineStr">
        <is>
          <t>1-2成</t>
        </is>
      </c>
      <c r="N57" s="3" t="inlineStr">
        <is>
          <t>其他涨停</t>
        </is>
      </c>
      <c r="O57" s="3" t="inlineStr"/>
      <c r="P57" s="3" t="n"/>
      <c r="Q57" s="3" t="inlineStr">
        <is>
          <t>市场震荡偏弱，指数分化但创业板较强，两市成交额约17911.78亿元，个股宽度使用排行样本估算，强势样本中涨停/20cm个股活跃。当前强势方向：其他涨停。</t>
        </is>
      </c>
    </row>
    <row r="58">
      <c r="A58" s="2" t="inlineStr">
        <is>
          <t>2026-09-03</t>
        </is>
      </c>
      <c r="B58" s="3" t="n">
        <v>0.0002</v>
      </c>
      <c r="C58" s="3" t="n">
        <v>0.001</v>
      </c>
      <c r="D58" s="3" t="n">
        <v>0.0001</v>
      </c>
      <c r="E58" s="3" t="n">
        <v>17589.16</v>
      </c>
      <c r="F58" s="3" t="n"/>
      <c r="G58" s="3" t="n"/>
      <c r="H58" s="3" t="inlineStr">
        <is>
          <t>震荡</t>
        </is>
      </c>
      <c r="I58" s="3" t="n">
        <v>45</v>
      </c>
      <c r="J58" s="3" t="n">
        <v>0</v>
      </c>
      <c r="K58" s="3" t="n">
        <v>0</v>
      </c>
      <c r="L58" s="3" t="n">
        <v>5</v>
      </c>
      <c r="M58" s="3" t="inlineStr">
        <is>
          <t>2-4成</t>
        </is>
      </c>
      <c r="N58" s="3" t="inlineStr">
        <is>
          <t>其他涨停</t>
        </is>
      </c>
      <c r="O58" s="3" t="inlineStr"/>
      <c r="P58" s="3" t="n"/>
      <c r="Q58" s="3" t="inlineStr">
        <is>
          <t>市场震荡，指数分化但创业板较强，两市成交额约17589.16亿元，个股宽度使用排行样本估算，强势样本中涨停/20cm个股活跃。当前强势方向：其他涨停。</t>
        </is>
      </c>
    </row>
    <row r="59">
      <c r="A59" s="2" t="inlineStr">
        <is>
          <t>2026-09-04</t>
        </is>
      </c>
      <c r="B59" s="3" t="n">
        <v>-0.003</v>
      </c>
      <c r="C59" s="3" t="n">
        <v>-0.007900000000000001</v>
      </c>
      <c r="D59" s="3" t="n">
        <v>-0.007800000000000001</v>
      </c>
      <c r="E59" s="3" t="n">
        <v>20306.68</v>
      </c>
      <c r="F59" s="3" t="n"/>
      <c r="G59" s="3" t="n"/>
      <c r="H59" s="3" t="inlineStr">
        <is>
          <t>震荡偏弱</t>
        </is>
      </c>
      <c r="I59" s="3" t="n">
        <v>41</v>
      </c>
      <c r="J59" s="3" t="n">
        <v>0</v>
      </c>
      <c r="K59" s="3" t="n">
        <v>0</v>
      </c>
      <c r="L59" s="3" t="n">
        <v>5</v>
      </c>
      <c r="M59" s="3" t="inlineStr">
        <is>
          <t>1-2成</t>
        </is>
      </c>
      <c r="N59" s="3" t="inlineStr">
        <is>
          <t>其他涨停</t>
        </is>
      </c>
      <c r="O59" s="3" t="inlineStr"/>
      <c r="P59" s="3" t="n"/>
      <c r="Q59" s="3" t="inlineStr">
        <is>
          <t>市场震荡偏弱，指数分化但创业板较强，两市成交额约20306.68亿元，个股宽度使用排行样本估算，强势样本中涨停/20cm个股活跃。当前强势方向：其他涨停。</t>
        </is>
      </c>
    </row>
    <row r="60">
      <c r="A60" s="2" t="inlineStr">
        <is>
          <t>2026-09-07</t>
        </is>
      </c>
      <c r="B60" s="3" t="n">
        <v>0.0007000000000000001</v>
      </c>
      <c r="C60" s="3" t="n">
        <v>0.0191</v>
      </c>
      <c r="D60" s="3" t="n">
        <v>0.0341</v>
      </c>
      <c r="E60" s="3" t="n">
        <v>19460.19</v>
      </c>
      <c r="F60" s="3" t="n"/>
      <c r="G60" s="3" t="n"/>
      <c r="H60" s="3" t="inlineStr">
        <is>
          <t>震荡偏强</t>
        </is>
      </c>
      <c r="I60" s="3" t="n">
        <v>95</v>
      </c>
      <c r="J60" s="3" t="n">
        <v>0</v>
      </c>
      <c r="K60" s="3" t="n">
        <v>0</v>
      </c>
      <c r="L60" s="3" t="n">
        <v>6.5</v>
      </c>
      <c r="M60" s="3" t="inlineStr">
        <is>
          <t>3-5成</t>
        </is>
      </c>
      <c r="N60" s="3" t="inlineStr">
        <is>
          <t>PCB、其他涨停</t>
        </is>
      </c>
      <c r="O60" s="3" t="inlineStr"/>
      <c r="P60" s="3" t="n"/>
      <c r="Q60" s="3" t="inlineStr">
        <is>
          <t>市场震荡偏强，指数分化但创业板较强，两市成交额约19460.19亿元，个股宽度使用排行样本估算，强势样本中涨停/20cm个股活跃。当前强势方向：PCB。</t>
        </is>
      </c>
    </row>
    <row r="61">
      <c r="A61" s="2" t="inlineStr">
        <is>
          <t>2026-09-08</t>
        </is>
      </c>
      <c r="B61" s="3" t="n">
        <v>0.002</v>
      </c>
      <c r="C61" s="3" t="n">
        <v>-0.0052</v>
      </c>
      <c r="D61" s="3" t="n">
        <v>-0.0115</v>
      </c>
      <c r="E61" s="3" t="n">
        <v>19603.35</v>
      </c>
      <c r="F61" s="3" t="n"/>
      <c r="G61" s="3" t="n"/>
      <c r="H61" s="3" t="inlineStr">
        <is>
          <t>震荡偏弱</t>
        </is>
      </c>
      <c r="I61" s="3" t="n">
        <v>74</v>
      </c>
      <c r="J61" s="3" t="n">
        <v>0</v>
      </c>
      <c r="K61" s="3" t="n">
        <v>0</v>
      </c>
      <c r="L61" s="3" t="n">
        <v>5</v>
      </c>
      <c r="M61" s="3" t="inlineStr">
        <is>
          <t>1-2成</t>
        </is>
      </c>
      <c r="N61" s="3" t="inlineStr">
        <is>
          <t>其他涨停</t>
        </is>
      </c>
      <c r="O61" s="3" t="inlineStr"/>
      <c r="P61" s="3" t="n"/>
      <c r="Q61" s="3" t="inlineStr">
        <is>
          <t>市场震荡偏弱，指数分化但创业板较强，两市成交额约19603.35亿元，个股宽度使用排行样本估算，强势样本中涨停/20cm个股活跃。当前强势方向：其他涨停。</t>
        </is>
      </c>
    </row>
    <row r="62">
      <c r="A62" s="2" t="inlineStr">
        <is>
          <t>2026-09-09</t>
        </is>
      </c>
      <c r="B62" s="3" t="n">
        <v>0.0028</v>
      </c>
      <c r="C62" s="3" t="n">
        <v>0.0015</v>
      </c>
      <c r="D62" s="3" t="n">
        <v>-0.0014</v>
      </c>
      <c r="E62" s="3" t="n">
        <v>18556.07</v>
      </c>
      <c r="F62" s="3" t="n"/>
      <c r="G62" s="3" t="n"/>
      <c r="H62" s="3" t="inlineStr">
        <is>
          <t>震荡</t>
        </is>
      </c>
      <c r="I62" s="3" t="n">
        <v>50</v>
      </c>
      <c r="J62" s="3" t="n">
        <v>0</v>
      </c>
      <c r="K62" s="3" t="n">
        <v>0</v>
      </c>
      <c r="L62" s="3" t="n">
        <v>5</v>
      </c>
      <c r="M62" s="3" t="inlineStr">
        <is>
          <t>2-4成</t>
        </is>
      </c>
      <c r="N62" s="3" t="inlineStr">
        <is>
          <t>其他涨停</t>
        </is>
      </c>
      <c r="O62" s="3" t="inlineStr"/>
      <c r="P62" s="3" t="n"/>
      <c r="Q62" s="3" t="inlineStr">
        <is>
          <t>市场震荡，指数分化但创业板较强，两市成交额约18556.07亿元，个股宽度使用排行样本估算，强势样本中涨停/20cm个股活跃。当前强势方向：其他涨停。</t>
        </is>
      </c>
    </row>
    <row r="63">
      <c r="A63" s="2" t="inlineStr">
        <is>
          <t>2026-09-10</t>
        </is>
      </c>
      <c r="B63" s="3" t="n">
        <v>-0.0043</v>
      </c>
      <c r="C63" s="3" t="n">
        <v>-0.0077</v>
      </c>
      <c r="D63" s="3" t="n">
        <v>-0.0049</v>
      </c>
      <c r="E63" s="3" t="n">
        <v>16471.48</v>
      </c>
      <c r="F63" s="3" t="n"/>
      <c r="G63" s="3" t="n"/>
      <c r="H63" s="3" t="inlineStr">
        <is>
          <t>震荡偏弱</t>
        </is>
      </c>
      <c r="I63" s="3" t="n">
        <v>36</v>
      </c>
      <c r="J63" s="3" t="n">
        <v>0</v>
      </c>
      <c r="K63" s="3" t="n">
        <v>0</v>
      </c>
      <c r="L63" s="3" t="n">
        <v>5</v>
      </c>
      <c r="M63" s="3" t="inlineStr">
        <is>
          <t>1-2成</t>
        </is>
      </c>
      <c r="N63" s="3" t="inlineStr">
        <is>
          <t>新材料/化工、其他涨停</t>
        </is>
      </c>
      <c r="O63" s="3" t="inlineStr"/>
      <c r="P63" s="3" t="n"/>
      <c r="Q63" s="3" t="inlineStr">
        <is>
          <t>市场震荡偏弱，指数分化但创业板较强，两市成交额约16471.48亿元，个股宽度使用排行样本估算，强势样本中涨停/20cm个股活跃。当前强势方向：新材料/化工。</t>
        </is>
      </c>
    </row>
    <row r="64">
      <c r="A64" s="2" t="inlineStr">
        <is>
          <t>2026-09-11</t>
        </is>
      </c>
      <c r="B64" s="3" t="n">
        <v>-0.0118</v>
      </c>
      <c r="C64" s="3" t="n">
        <v>-0.0108</v>
      </c>
      <c r="D64" s="3" t="n">
        <v>-0.0049</v>
      </c>
      <c r="E64" s="3" t="n">
        <v>19718.98</v>
      </c>
      <c r="F64" s="3" t="n"/>
      <c r="G64" s="3" t="n"/>
      <c r="H64" s="3" t="inlineStr">
        <is>
          <t>震荡偏弱</t>
        </is>
      </c>
      <c r="I64" s="3" t="n">
        <v>41</v>
      </c>
      <c r="J64" s="3" t="n">
        <v>0</v>
      </c>
      <c r="K64" s="3" t="n">
        <v>0</v>
      </c>
      <c r="L64" s="3" t="n">
        <v>5</v>
      </c>
      <c r="M64" s="3" t="inlineStr">
        <is>
          <t>1-2成</t>
        </is>
      </c>
      <c r="N64" s="3" t="inlineStr">
        <is>
          <t>新材料/化工、PCB、其他涨停</t>
        </is>
      </c>
      <c r="O64" s="3" t="inlineStr"/>
      <c r="P64" s="3" t="n"/>
      <c r="Q64" s="3" t="inlineStr">
        <is>
          <t>市场震荡偏弱，指数分化但创业板较强，两市成交额约19718.98亿元，个股宽度使用排行样本估算，强势样本中涨停/20cm个股活跃。当前强势方向：新材料/化工。</t>
        </is>
      </c>
    </row>
    <row r="65">
      <c r="A65" s="2" t="inlineStr">
        <is>
          <t>2026-09-14</t>
        </is>
      </c>
      <c r="B65" s="3" t="n">
        <v>-0.0007000000000000001</v>
      </c>
      <c r="C65" s="3" t="n">
        <v>-0.0064</v>
      </c>
      <c r="D65" s="3" t="n">
        <v>-0.011</v>
      </c>
      <c r="E65" s="3" t="n">
        <v>16291.76</v>
      </c>
      <c r="F65" s="3" t="n"/>
      <c r="G65" s="3" t="n"/>
      <c r="H65" s="3" t="inlineStr">
        <is>
          <t>震荡偏弱</t>
        </is>
      </c>
      <c r="I65" s="3" t="n">
        <v>55</v>
      </c>
      <c r="J65" s="3" t="n">
        <v>0</v>
      </c>
      <c r="K65" s="3" t="n">
        <v>0</v>
      </c>
      <c r="L65" s="3" t="n">
        <v>5</v>
      </c>
      <c r="M65" s="3" t="inlineStr">
        <is>
          <t>1-2成</t>
        </is>
      </c>
      <c r="N65" s="3" t="inlineStr">
        <is>
          <t>PCB、医药/消费、建材/玻璃</t>
        </is>
      </c>
      <c r="O65" s="3" t="inlineStr"/>
      <c r="P65" s="3" t="n"/>
      <c r="Q65" s="3" t="inlineStr">
        <is>
          <t>市场震荡偏弱，指数分化但创业板较强，两市成交额约16291.76亿元，个股宽度使用排行样本估算，强势样本中涨停/20cm个股活跃。当前强势方向：PCB。</t>
        </is>
      </c>
    </row>
    <row r="66">
      <c r="A66" s="2" t="inlineStr">
        <is>
          <t>2026-09-15</t>
        </is>
      </c>
      <c r="B66" s="3" t="n">
        <v>-0.0054</v>
      </c>
      <c r="C66" s="3" t="n">
        <v>-0.0072</v>
      </c>
      <c r="D66" s="3" t="n">
        <v>-0.0115</v>
      </c>
      <c r="E66" s="3" t="n">
        <v>16127.17</v>
      </c>
      <c r="F66" s="3" t="n"/>
      <c r="G66" s="3" t="n"/>
      <c r="H66" s="3" t="inlineStr">
        <is>
          <t>震荡偏弱</t>
        </is>
      </c>
      <c r="I66" s="3" t="n">
        <v>32</v>
      </c>
      <c r="J66" s="3" t="n">
        <v>0</v>
      </c>
      <c r="K66" s="3" t="n">
        <v>0</v>
      </c>
      <c r="L66" s="3" t="n">
        <v>5</v>
      </c>
      <c r="M66" s="3" t="inlineStr">
        <is>
          <t>1-2成</t>
        </is>
      </c>
      <c r="N66" s="3" t="inlineStr">
        <is>
          <t>其他涨停</t>
        </is>
      </c>
      <c r="O66" s="3" t="inlineStr"/>
      <c r="P66" s="3" t="n"/>
      <c r="Q66" s="3" t="inlineStr">
        <is>
          <t>市场震荡偏弱，指数分化但创业板较强，两市成交额约16127.17亿元，个股宽度使用排行样本估算，强势样本中涨停/20cm个股活跃。当前强势方向：其他涨停。</t>
        </is>
      </c>
    </row>
    <row r="67">
      <c r="A67" s="2" t="inlineStr">
        <is>
          <t>2026-09-16</t>
        </is>
      </c>
      <c r="B67" s="3" t="n">
        <v>0.0071</v>
      </c>
      <c r="C67" s="3" t="n">
        <v>0.0126</v>
      </c>
      <c r="D67" s="3" t="n">
        <v>0.0196</v>
      </c>
      <c r="E67" s="3" t="n">
        <v>18391.22</v>
      </c>
      <c r="F67" s="3" t="n"/>
      <c r="G67" s="3" t="n"/>
      <c r="H67" s="3" t="inlineStr">
        <is>
          <t>震荡偏强</t>
        </is>
      </c>
      <c r="I67" s="3" t="n">
        <v>91</v>
      </c>
      <c r="J67" s="3" t="n">
        <v>0</v>
      </c>
      <c r="K67" s="3" t="n">
        <v>0</v>
      </c>
      <c r="L67" s="3" t="n">
        <v>6.5</v>
      </c>
      <c r="M67" s="3" t="inlineStr">
        <is>
          <t>3-5成</t>
        </is>
      </c>
      <c r="N67" s="3" t="inlineStr">
        <is>
          <t>汽车零部件、其他涨停</t>
        </is>
      </c>
      <c r="O67" s="3" t="inlineStr"/>
      <c r="P67" s="3" t="n"/>
      <c r="Q67" s="3" t="inlineStr">
        <is>
          <t>市场震荡偏强，指数分化但创业板较强，两市成交额约18391.22亿元，个股宽度使用排行样本估算，强势样本中涨停/20cm个股活跃。当前强势方向：汽车零部件。</t>
        </is>
      </c>
    </row>
    <row r="68">
      <c r="A68" s="2" t="inlineStr">
        <is>
          <t>2026-09-17</t>
        </is>
      </c>
      <c r="B68" s="3" t="n">
        <v>-0.004099999999999999</v>
      </c>
      <c r="C68" s="3" t="n">
        <v>-0.0033</v>
      </c>
      <c r="D68" s="3" t="n">
        <v>-0.004</v>
      </c>
      <c r="E68" s="3" t="n">
        <v>18231.34</v>
      </c>
      <c r="F68" s="3" t="n"/>
      <c r="G68" s="3" t="n"/>
      <c r="H68" s="3" t="inlineStr">
        <is>
          <t>震荡偏弱</t>
        </is>
      </c>
      <c r="I68" s="3" t="n">
        <v>48</v>
      </c>
      <c r="J68" s="3" t="n">
        <v>0</v>
      </c>
      <c r="K68" s="3" t="n">
        <v>0</v>
      </c>
      <c r="L68" s="3" t="n">
        <v>5</v>
      </c>
      <c r="M68" s="3" t="inlineStr">
        <is>
          <t>1-2成</t>
        </is>
      </c>
      <c r="N68" s="3" t="inlineStr">
        <is>
          <t>其他涨停</t>
        </is>
      </c>
      <c r="O68" s="3" t="inlineStr"/>
      <c r="P68" s="3" t="n"/>
      <c r="Q68" s="3" t="inlineStr">
        <is>
          <t>市场震荡偏弱，指数分化但创业板较强，两市成交额约18231.34亿元，个股宽度使用排行样本估算，强势样本中涨停/20cm个股活跃。当前强势方向：其他涨停。</t>
        </is>
      </c>
    </row>
    <row r="69">
      <c r="A69" s="2" t="inlineStr">
        <is>
          <t>2026-09-18</t>
        </is>
      </c>
      <c r="B69" s="3" t="n">
        <v>0.009399999999999999</v>
      </c>
      <c r="C69" s="3" t="n">
        <v>0.0172</v>
      </c>
      <c r="D69" s="3" t="n">
        <v>0.0225</v>
      </c>
      <c r="E69" s="3" t="n">
        <v>20771</v>
      </c>
      <c r="F69" s="3" t="n"/>
      <c r="G69" s="3" t="n"/>
      <c r="H69" s="3" t="inlineStr">
        <is>
          <t>震荡偏强</t>
        </is>
      </c>
      <c r="I69" s="3" t="n">
        <v>82</v>
      </c>
      <c r="J69" s="3" t="n">
        <v>0</v>
      </c>
      <c r="K69" s="3" t="n">
        <v>0</v>
      </c>
      <c r="L69" s="3" t="n">
        <v>6.5</v>
      </c>
      <c r="M69" s="3" t="inlineStr">
        <is>
          <t>3-5成</t>
        </is>
      </c>
      <c r="N69" s="3" t="inlineStr">
        <is>
          <t>其他涨停</t>
        </is>
      </c>
      <c r="O69" s="3" t="inlineStr"/>
      <c r="P69" s="3" t="n"/>
      <c r="Q69" s="3" t="inlineStr">
        <is>
          <t>市场震荡偏强，指数分化但创业板较强，两市成交额约20771.0亿元，个股宽度使用排行样本估算，强势样本中涨停/20cm个股活跃。当前强势方向：其他涨停。</t>
        </is>
      </c>
    </row>
    <row r="70">
      <c r="A70" s="2" t="inlineStr">
        <is>
          <t>2026-09-21</t>
        </is>
      </c>
      <c r="B70" s="3" t="n">
        <v>0.0097</v>
      </c>
      <c r="C70" s="3" t="n">
        <v>0.006500000000000001</v>
      </c>
      <c r="D70" s="3" t="n">
        <v>0.008</v>
      </c>
      <c r="E70" s="3" t="n">
        <v>20315.13</v>
      </c>
      <c r="F70" s="3" t="n"/>
      <c r="G70" s="3" t="n"/>
      <c r="H70" s="3" t="inlineStr">
        <is>
          <t>震荡偏强</t>
        </is>
      </c>
      <c r="I70" s="3" t="n">
        <v>104</v>
      </c>
      <c r="J70" s="3" t="n">
        <v>0</v>
      </c>
      <c r="K70" s="3" t="n">
        <v>0</v>
      </c>
      <c r="L70" s="3" t="n">
        <v>6.5</v>
      </c>
      <c r="M70" s="3" t="inlineStr">
        <is>
          <t>3-5成</t>
        </is>
      </c>
      <c r="N70" s="3" t="inlineStr">
        <is>
          <t>其他涨停</t>
        </is>
      </c>
      <c r="O70" s="3" t="inlineStr"/>
      <c r="P70" s="3" t="n"/>
      <c r="Q70" s="3" t="inlineStr">
        <is>
          <t>市场震荡偏强，指数分化但创业板较强，两市成交额约20315.13亿元，个股宽度使用排行样本估算，强势样本中涨停/20cm个股活跃。当前强势方向：其他涨停。</t>
        </is>
      </c>
    </row>
    <row r="71">
      <c r="A71" s="2" t="inlineStr">
        <is>
          <t>2026-09-22</t>
        </is>
      </c>
      <c r="B71" s="3" t="n">
        <v>0.0005999999999999999</v>
      </c>
      <c r="C71" s="3" t="n">
        <v>-0.0005</v>
      </c>
      <c r="D71" s="3" t="n">
        <v>0.0001</v>
      </c>
      <c r="E71" s="3" t="n">
        <v>21355.5</v>
      </c>
      <c r="F71" s="3" t="n"/>
      <c r="G71" s="3" t="n"/>
      <c r="H71" s="3" t="inlineStr">
        <is>
          <t>震荡</t>
        </is>
      </c>
      <c r="I71" s="3" t="n">
        <v>66</v>
      </c>
      <c r="J71" s="3" t="n">
        <v>0</v>
      </c>
      <c r="K71" s="3" t="n">
        <v>0</v>
      </c>
      <c r="L71" s="3" t="n">
        <v>5</v>
      </c>
      <c r="M71" s="3" t="inlineStr">
        <is>
          <t>2-4成</t>
        </is>
      </c>
      <c r="N71" s="3" t="inlineStr">
        <is>
          <t>其他涨停</t>
        </is>
      </c>
      <c r="O71" s="3" t="inlineStr"/>
      <c r="P71" s="3" t="n"/>
      <c r="Q71" s="3" t="inlineStr">
        <is>
          <t>市场震荡，指数分化但创业板较强，两市成交额约21355.5亿元，个股宽度使用排行样本估算，强势样本中涨停/20cm个股活跃。当前强势方向：其他涨停。</t>
        </is>
      </c>
    </row>
    <row r="72">
      <c r="A72" s="2" t="inlineStr">
        <is>
          <t>2026-09-23</t>
        </is>
      </c>
      <c r="B72" s="3" t="n">
        <v>-0.0039</v>
      </c>
      <c r="C72" s="3" t="n">
        <v>-0.0064</v>
      </c>
      <c r="D72" s="3" t="n">
        <v>-0.006</v>
      </c>
      <c r="E72" s="3" t="n">
        <v>17649.76</v>
      </c>
      <c r="F72" s="3" t="n"/>
      <c r="G72" s="3" t="n"/>
      <c r="H72" s="3" t="inlineStr">
        <is>
          <t>震荡偏弱</t>
        </is>
      </c>
      <c r="I72" s="3" t="n">
        <v>52</v>
      </c>
      <c r="J72" s="3" t="n">
        <v>0</v>
      </c>
      <c r="K72" s="3" t="n">
        <v>0</v>
      </c>
      <c r="L72" s="3" t="n">
        <v>5</v>
      </c>
      <c r="M72" s="3" t="inlineStr">
        <is>
          <t>1-2成</t>
        </is>
      </c>
      <c r="N72" s="3" t="inlineStr">
        <is>
          <t>其他涨停</t>
        </is>
      </c>
      <c r="O72" s="3" t="inlineStr"/>
      <c r="P72" s="3" t="n"/>
      <c r="Q72" s="3" t="inlineStr">
        <is>
          <t>市场震荡偏弱，指数分化但创业板较强，两市成交额约17649.76亿元，个股宽度使用排行样本估算，强势样本中涨停/20cm个股活跃。当前强势方向：其他涨停。</t>
        </is>
      </c>
    </row>
    <row r="73">
      <c r="A73" s="2" t="inlineStr">
        <is>
          <t>2026-09-24</t>
        </is>
      </c>
      <c r="B73" s="3" t="n">
        <v>-0.0122</v>
      </c>
      <c r="C73" s="3" t="n">
        <v>-0.0234</v>
      </c>
      <c r="D73" s="3" t="n">
        <v>-0.0268</v>
      </c>
      <c r="E73" s="3" t="n">
        <v>16533.57</v>
      </c>
      <c r="F73" s="3" t="n"/>
      <c r="G73" s="3" t="n"/>
      <c r="H73" s="3" t="inlineStr">
        <is>
          <t>震荡偏弱</t>
        </is>
      </c>
      <c r="I73" s="3" t="n">
        <v>54</v>
      </c>
      <c r="J73" s="3" t="n">
        <v>0</v>
      </c>
      <c r="K73" s="3" t="n">
        <v>0</v>
      </c>
      <c r="L73" s="3" t="n">
        <v>5</v>
      </c>
      <c r="M73" s="3" t="inlineStr">
        <is>
          <t>1-2成</t>
        </is>
      </c>
      <c r="N73" s="3" t="inlineStr">
        <is>
          <t>其他涨停</t>
        </is>
      </c>
      <c r="O73" s="3" t="inlineStr"/>
      <c r="P73" s="3" t="n"/>
      <c r="Q73" s="3" t="inlineStr">
        <is>
          <t>市场震荡偏弱，指数分化但创业板较强，两市成交额约16533.57亿元，个股宽度使用排行样本估算，强势样本中涨停/20cm个股活跃。当前强势方向：其他涨停。</t>
        </is>
      </c>
    </row>
    <row r="74">
      <c r="A74" s="2" t="inlineStr">
        <is>
          <t>2026-09-25</t>
        </is>
      </c>
      <c r="B74" s="3" t="n">
        <v>-0.0122</v>
      </c>
      <c r="C74" s="3" t="n">
        <v>-0.0234</v>
      </c>
      <c r="D74" s="3" t="n">
        <v>-0.0268</v>
      </c>
      <c r="E74" s="3" t="n">
        <v>16533.57</v>
      </c>
      <c r="F74" s="3" t="n"/>
      <c r="G74" s="3" t="n"/>
      <c r="H74" s="3" t="inlineStr">
        <is>
          <t>震荡偏弱</t>
        </is>
      </c>
      <c r="I74" s="3" t="n">
        <v>54</v>
      </c>
      <c r="J74" s="3" t="n">
        <v>0</v>
      </c>
      <c r="K74" s="3" t="n">
        <v>0</v>
      </c>
      <c r="L74" s="3" t="n">
        <v>5</v>
      </c>
      <c r="M74" s="3" t="inlineStr">
        <is>
          <t>1-2成</t>
        </is>
      </c>
      <c r="N74" s="3" t="inlineStr">
        <is>
          <t>其他涨停</t>
        </is>
      </c>
      <c r="O74" s="3" t="inlineStr"/>
      <c r="P74" s="3" t="n"/>
      <c r="Q74" s="3" t="inlineStr">
        <is>
          <t>市场震荡偏弱，指数分化但创业板较强，两市成交额约16533.57亿元，个股宽度使用排行样本估算，强势样本中涨停/20cm个股活跃。当前强势方向：其他涨停。</t>
        </is>
      </c>
    </row>
    <row r="75">
      <c r="A75" s="2" t="inlineStr">
        <is>
          <t>2026-09-28</t>
        </is>
      </c>
      <c r="B75" s="3" t="n">
        <v>-0.0167</v>
      </c>
      <c r="C75" s="3" t="n">
        <v>-0.0344</v>
      </c>
      <c r="D75" s="3" t="n">
        <v>-0.0453</v>
      </c>
      <c r="E75" s="3" t="n">
        <v>17027.99</v>
      </c>
      <c r="F75" s="3" t="n"/>
      <c r="G75" s="3" t="n"/>
      <c r="H75" s="3" t="inlineStr">
        <is>
          <t>震荡偏弱</t>
        </is>
      </c>
      <c r="I75" s="3" t="n">
        <v>33</v>
      </c>
      <c r="J75" s="3" t="n">
        <v>0</v>
      </c>
      <c r="K75" s="3" t="n">
        <v>0</v>
      </c>
      <c r="L75" s="3" t="n">
        <v>5</v>
      </c>
      <c r="M75" s="3" t="inlineStr">
        <is>
          <t>1-2成</t>
        </is>
      </c>
      <c r="N75" s="3" t="inlineStr">
        <is>
          <t>其他涨停</t>
        </is>
      </c>
      <c r="O75" s="3" t="inlineStr"/>
      <c r="P75" s="3" t="n"/>
      <c r="Q75" s="3" t="inlineStr">
        <is>
          <t>市场震荡偏弱，指数分化但创业板较强，两市成交额约17027.99亿元，个股宽度使用排行样本估算，强势样本中涨停/20cm个股活跃。当前强势方向：其他涨停。</t>
        </is>
      </c>
    </row>
    <row r="76">
      <c r="A76" s="2" t="inlineStr">
        <is>
          <t>2026-09-29</t>
        </is>
      </c>
      <c r="B76" s="3" t="n">
        <v>0.0018</v>
      </c>
      <c r="C76" s="3" t="n">
        <v>0.0034</v>
      </c>
      <c r="D76" s="3" t="n">
        <v>0.0009</v>
      </c>
      <c r="E76" s="3" t="n">
        <v>14091.98</v>
      </c>
      <c r="F76" s="3" t="n"/>
      <c r="G76" s="3" t="n"/>
      <c r="H76" s="3" t="inlineStr">
        <is>
          <t>震荡</t>
        </is>
      </c>
      <c r="I76" s="3" t="n">
        <v>59</v>
      </c>
      <c r="J76" s="3" t="n">
        <v>0</v>
      </c>
      <c r="K76" s="3" t="n">
        <v>0</v>
      </c>
      <c r="L76" s="3" t="n">
        <v>5</v>
      </c>
      <c r="M76" s="3" t="inlineStr">
        <is>
          <t>2-4成</t>
        </is>
      </c>
      <c r="N76" s="3" t="inlineStr">
        <is>
          <t>PCB、其他涨停</t>
        </is>
      </c>
      <c r="O76" s="3" t="inlineStr"/>
      <c r="P76" s="3" t="n"/>
      <c r="Q76" s="3" t="inlineStr">
        <is>
          <t>市场震荡，指数分化但创业板较强，两市成交额约14091.98亿元，个股宽度使用排行样本估算，强势样本中涨停/20cm个股活跃。当前强势方向：PCB。</t>
        </is>
      </c>
    </row>
    <row r="77">
      <c r="A77" s="2" t="inlineStr">
        <is>
          <t>2026-09-30</t>
        </is>
      </c>
      <c r="B77" s="3" t="n">
        <v>0.0031</v>
      </c>
      <c r="C77" s="3" t="n">
        <v>-0.0011</v>
      </c>
      <c r="D77" s="3" t="n">
        <v>-0.0023</v>
      </c>
      <c r="E77" s="3" t="n">
        <v>14380.18</v>
      </c>
      <c r="F77" s="3" t="n"/>
      <c r="G77" s="3" t="n"/>
      <c r="H77" s="3" t="inlineStr">
        <is>
          <t>震荡</t>
        </is>
      </c>
      <c r="I77" s="3" t="n">
        <v>55</v>
      </c>
      <c r="J77" s="3" t="n">
        <v>0</v>
      </c>
      <c r="K77" s="3" t="n">
        <v>0</v>
      </c>
      <c r="L77" s="3" t="n">
        <v>5</v>
      </c>
      <c r="M77" s="3" t="inlineStr">
        <is>
          <t>2-4成</t>
        </is>
      </c>
      <c r="N77" s="3" t="inlineStr">
        <is>
          <t>其他涨停</t>
        </is>
      </c>
      <c r="O77" s="3" t="inlineStr"/>
      <c r="P77" s="3" t="n"/>
      <c r="Q77" s="3" t="inlineStr">
        <is>
          <t>市场震荡，指数分化但创业板较强，两市成交额约14380.18亿元，个股宽度使用排行样本估算，强势样本中涨停/20cm个股活跃。当前强势方向：其他涨停。</t>
        </is>
      </c>
    </row>
    <row r="78">
      <c r="A78" s="2" t="inlineStr">
        <is>
          <t>2026-10-01</t>
        </is>
      </c>
      <c r="B78" s="3" t="n">
        <v>0.0031</v>
      </c>
      <c r="C78" s="3" t="n">
        <v>-0.0011</v>
      </c>
      <c r="D78" s="3" t="n">
        <v>-0.0023</v>
      </c>
      <c r="E78" s="3" t="n">
        <v>14380.18</v>
      </c>
      <c r="F78" s="3" t="n"/>
      <c r="G78" s="3" t="n"/>
      <c r="H78" s="3" t="inlineStr">
        <is>
          <t>震荡</t>
        </is>
      </c>
      <c r="I78" s="3" t="n">
        <v>55</v>
      </c>
      <c r="J78" s="3" t="n">
        <v>0</v>
      </c>
      <c r="K78" s="3" t="n">
        <v>0</v>
      </c>
      <c r="L78" s="3" t="n">
        <v>5</v>
      </c>
      <c r="M78" s="3" t="inlineStr">
        <is>
          <t>2-4成</t>
        </is>
      </c>
      <c r="N78" s="3" t="inlineStr">
        <is>
          <t>其他涨停</t>
        </is>
      </c>
      <c r="O78" s="3" t="inlineStr"/>
      <c r="P78" s="3" t="n"/>
      <c r="Q78" s="3" t="inlineStr">
        <is>
          <t>市场震荡，指数分化但创业板较强，两市成交额约14380.18亿元，个股宽度使用排行样本估算，强势样本中涨停/20cm个股活跃。当前强势方向：其他涨停。</t>
        </is>
      </c>
    </row>
    <row r="79">
      <c r="A79" s="2" t="inlineStr">
        <is>
          <t>2026-10-02</t>
        </is>
      </c>
      <c r="B79" s="3" t="n">
        <v>0.0031</v>
      </c>
      <c r="C79" s="3" t="n">
        <v>-0.0011</v>
      </c>
      <c r="D79" s="3" t="n">
        <v>-0.0023</v>
      </c>
      <c r="E79" s="3" t="n">
        <v>14380.18</v>
      </c>
      <c r="F79" s="3" t="n"/>
      <c r="G79" s="3" t="n"/>
      <c r="H79" s="3" t="inlineStr">
        <is>
          <t>震荡</t>
        </is>
      </c>
      <c r="I79" s="3" t="n">
        <v>55</v>
      </c>
      <c r="J79" s="3" t="n">
        <v>0</v>
      </c>
      <c r="K79" s="3" t="n">
        <v>0</v>
      </c>
      <c r="L79" s="3" t="n">
        <v>5</v>
      </c>
      <c r="M79" s="3" t="inlineStr">
        <is>
          <t>2-4成</t>
        </is>
      </c>
      <c r="N79" s="3" t="inlineStr">
        <is>
          <t>其他涨停</t>
        </is>
      </c>
      <c r="O79" s="3" t="inlineStr"/>
      <c r="P79" s="3" t="n"/>
      <c r="Q79" s="3" t="inlineStr">
        <is>
          <t>市场震荡，指数分化但创业板较强，两市成交额约14380.18亿元，个股宽度使用排行样本估算，强势样本中涨停/20cm个股活跃。当前强势方向：其他涨停。</t>
        </is>
      </c>
    </row>
    <row r="80">
      <c r="A80" s="2" t="inlineStr">
        <is>
          <t>2026-10-06</t>
        </is>
      </c>
      <c r="B80" s="3" t="n">
        <v>0.0031</v>
      </c>
      <c r="C80" s="3" t="n">
        <v>-0.0011</v>
      </c>
      <c r="D80" s="3" t="n">
        <v>-0.0023</v>
      </c>
      <c r="E80" s="3" t="n">
        <v>14380.18</v>
      </c>
      <c r="F80" s="3" t="n"/>
      <c r="G80" s="3" t="n"/>
      <c r="H80" s="3" t="inlineStr">
        <is>
          <t>震荡</t>
        </is>
      </c>
      <c r="I80" s="3" t="n">
        <v>55</v>
      </c>
      <c r="J80" s="3" t="n">
        <v>0</v>
      </c>
      <c r="K80" s="3" t="n">
        <v>0</v>
      </c>
      <c r="L80" s="3" t="n">
        <v>5</v>
      </c>
      <c r="M80" s="3" t="inlineStr">
        <is>
          <t>2-4成</t>
        </is>
      </c>
      <c r="N80" s="3" t="inlineStr">
        <is>
          <t>其他涨停</t>
        </is>
      </c>
      <c r="O80" s="3" t="inlineStr"/>
      <c r="P80" s="3" t="n"/>
      <c r="Q80" s="3" t="inlineStr">
        <is>
          <t>市场震荡，指数分化但创业板较强，两市成交额约14380.18亿元，个股宽度使用排行样本估算，强势样本中涨停/20cm个股活跃。当前强势方向：其他涨停。</t>
        </is>
      </c>
    </row>
    <row r="81">
      <c r="A81" s="2" t="inlineStr">
        <is>
          <t>2026-10-07</t>
        </is>
      </c>
      <c r="B81" s="3" t="n">
        <v>0.0031</v>
      </c>
      <c r="C81" s="3" t="n">
        <v>-0.0011</v>
      </c>
      <c r="D81" s="3" t="n">
        <v>-0.0023</v>
      </c>
      <c r="E81" s="3" t="n">
        <v>14380.18</v>
      </c>
      <c r="F81" s="3" t="n"/>
      <c r="G81" s="3" t="n"/>
      <c r="H81" s="3" t="inlineStr">
        <is>
          <t>震荡</t>
        </is>
      </c>
      <c r="I81" s="3" t="n">
        <v>55</v>
      </c>
      <c r="J81" s="3" t="n">
        <v>0</v>
      </c>
      <c r="K81" s="3" t="n">
        <v>0</v>
      </c>
      <c r="L81" s="3" t="n">
        <v>5</v>
      </c>
      <c r="M81" s="3" t="inlineStr">
        <is>
          <t>2-4成</t>
        </is>
      </c>
      <c r="N81" s="3" t="inlineStr">
        <is>
          <t>其他涨停</t>
        </is>
      </c>
      <c r="O81" s="3" t="inlineStr"/>
      <c r="P81" s="3" t="n"/>
      <c r="Q81" s="3" t="inlineStr">
        <is>
          <t>市场震荡，指数分化但创业板较强，两市成交额约14380.18亿元，个股宽度使用排行样本估算，强势样本中涨停/20cm个股活跃。当前强势方向：其他涨停。</t>
        </is>
      </c>
    </row>
    <row r="82">
      <c r="A82" s="2" t="inlineStr">
        <is>
          <t>2026-10-08</t>
        </is>
      </c>
      <c r="B82" s="3" t="n">
        <v>-0.007900000000000001</v>
      </c>
      <c r="C82" s="3" t="n">
        <v>-0.0207</v>
      </c>
      <c r="D82" s="3" t="n">
        <v>-0.0315</v>
      </c>
      <c r="E82" s="3" t="n">
        <v>16821.27</v>
      </c>
      <c r="F82" s="3" t="n"/>
      <c r="G82" s="3" t="n"/>
      <c r="H82" s="3" t="inlineStr">
        <is>
          <t>震荡偏弱</t>
        </is>
      </c>
      <c r="I82" s="3" t="n">
        <v>45</v>
      </c>
      <c r="J82" s="3" t="n">
        <v>0</v>
      </c>
      <c r="K82" s="3" t="n">
        <v>0</v>
      </c>
      <c r="L82" s="3" t="n">
        <v>5</v>
      </c>
      <c r="M82" s="3" t="inlineStr">
        <is>
          <t>1-2成</t>
        </is>
      </c>
      <c r="N82" s="3" t="inlineStr">
        <is>
          <t>其他涨停</t>
        </is>
      </c>
      <c r="O82" s="3" t="inlineStr"/>
      <c r="P82" s="3" t="n"/>
      <c r="Q82" s="3" t="inlineStr">
        <is>
          <t>市场震荡偏弱，指数分化但创业板较强，两市成交额约16821.27亿元，个股宽度使用排行样本估算，强势样本中涨停/20cm个股活跃。当前强势方向：其他涨停。</t>
        </is>
      </c>
    </row>
    <row r="83">
      <c r="A83" s="2" t="inlineStr">
        <is>
          <t>2026-10-09</t>
        </is>
      </c>
      <c r="B83" s="3" t="n">
        <v>0.0005</v>
      </c>
      <c r="C83" s="3" t="n">
        <v>0.0017</v>
      </c>
      <c r="D83" s="3" t="n">
        <v>0.0022</v>
      </c>
      <c r="E83" s="3" t="n">
        <v>19005.55</v>
      </c>
      <c r="F83" s="3" t="n"/>
      <c r="G83" s="3" t="n"/>
      <c r="H83" s="3" t="inlineStr">
        <is>
          <t>震荡</t>
        </is>
      </c>
      <c r="I83" s="3" t="n">
        <v>72</v>
      </c>
      <c r="J83" s="3" t="n">
        <v>0</v>
      </c>
      <c r="K83" s="3" t="n">
        <v>0</v>
      </c>
      <c r="L83" s="3" t="n">
        <v>5</v>
      </c>
      <c r="M83" s="3" t="inlineStr">
        <is>
          <t>2-4成</t>
        </is>
      </c>
      <c r="N83" s="3" t="inlineStr">
        <is>
          <t>其他涨停</t>
        </is>
      </c>
      <c r="O83" s="3" t="inlineStr"/>
      <c r="P83" s="3" t="n"/>
      <c r="Q83" s="3" t="inlineStr">
        <is>
          <t>市场震荡，指数分化但创业板较强，两市成交额约19005.55亿元，个股宽度使用排行样本估算，强势样本中涨停/20cm个股活跃。当前强势方向：其他涨停。</t>
        </is>
      </c>
    </row>
    <row r="84">
      <c r="A84" s="2" t="inlineStr">
        <is>
          <t>2026-10-12</t>
        </is>
      </c>
      <c r="B84" s="3" t="n">
        <v>-0.0043</v>
      </c>
      <c r="C84" s="3" t="n">
        <v>-0.0203</v>
      </c>
      <c r="D84" s="3" t="n">
        <v>-0.0261</v>
      </c>
      <c r="E84" s="3" t="n">
        <v>15378.31</v>
      </c>
      <c r="F84" s="3" t="n"/>
      <c r="G84" s="3" t="n"/>
      <c r="H84" s="3" t="inlineStr">
        <is>
          <t>震荡偏弱</t>
        </is>
      </c>
      <c r="I84" s="3" t="n">
        <v>46</v>
      </c>
      <c r="J84" s="3" t="n">
        <v>0</v>
      </c>
      <c r="K84" s="3" t="n">
        <v>0</v>
      </c>
      <c r="L84" s="3" t="n">
        <v>5</v>
      </c>
      <c r="M84" s="3" t="inlineStr">
        <is>
          <t>1-2成</t>
        </is>
      </c>
      <c r="N84" s="3" t="inlineStr">
        <is>
          <t>其他涨停</t>
        </is>
      </c>
      <c r="O84" s="3" t="inlineStr"/>
      <c r="P84" s="3" t="n"/>
      <c r="Q84" s="3" t="inlineStr">
        <is>
          <t>市场震荡偏弱，指数分化但创业板较强，两市成交额约15378.31亿元，个股宽度使用排行样本估算，强势样本中涨停/20cm个股活跃。当前强势方向：其他涨停。</t>
        </is>
      </c>
    </row>
    <row r="85">
      <c r="A85" s="2" t="inlineStr">
        <is>
          <t>2026-10-13</t>
        </is>
      </c>
      <c r="B85" s="3" t="n">
        <v>0.001</v>
      </c>
      <c r="C85" s="3" t="n">
        <v>-0.0025</v>
      </c>
      <c r="D85" s="3" t="n">
        <v>-0.0018</v>
      </c>
      <c r="E85" s="3" t="n">
        <v>16759.18</v>
      </c>
      <c r="F85" s="3" t="n"/>
      <c r="G85" s="3" t="n"/>
      <c r="H85" s="3" t="inlineStr">
        <is>
          <t>震荡</t>
        </is>
      </c>
      <c r="I85" s="3" t="n">
        <v>68</v>
      </c>
      <c r="J85" s="3" t="n">
        <v>0</v>
      </c>
      <c r="K85" s="3" t="n">
        <v>0</v>
      </c>
      <c r="L85" s="3" t="n">
        <v>5</v>
      </c>
      <c r="M85" s="3" t="inlineStr">
        <is>
          <t>2-4成</t>
        </is>
      </c>
      <c r="N85" s="3" t="inlineStr">
        <is>
          <t>PCB、其他涨停</t>
        </is>
      </c>
      <c r="O85" s="3" t="inlineStr"/>
      <c r="P85" s="3" t="n"/>
      <c r="Q85" s="3" t="inlineStr">
        <is>
          <t>市场震荡，指数分化但创业板较强，两市成交额约16759.18亿元，个股宽度使用排行样本估算，强势样本中涨停/20cm个股活跃。当前强势方向：PCB。</t>
        </is>
      </c>
    </row>
    <row r="86">
      <c r="A86" s="2" t="inlineStr">
        <is>
          <t>2026-10-14</t>
        </is>
      </c>
      <c r="B86" s="3" t="n">
        <v>-0.008800000000000001</v>
      </c>
      <c r="C86" s="3" t="n">
        <v>-0.0197</v>
      </c>
      <c r="D86" s="3" t="n">
        <v>-0.031</v>
      </c>
      <c r="E86" s="3" t="n">
        <v>14144.02</v>
      </c>
      <c r="F86" s="3" t="n"/>
      <c r="G86" s="3" t="n"/>
      <c r="H86" s="3" t="inlineStr">
        <is>
          <t>震荡偏弱</t>
        </is>
      </c>
      <c r="I86" s="3" t="n">
        <v>36</v>
      </c>
      <c r="J86" s="3" t="n">
        <v>0</v>
      </c>
      <c r="K86" s="3" t="n">
        <v>0</v>
      </c>
      <c r="L86" s="3" t="n">
        <v>5</v>
      </c>
      <c r="M86" s="3" t="inlineStr">
        <is>
          <t>1-2成</t>
        </is>
      </c>
      <c r="N86" s="3" t="inlineStr">
        <is>
          <t>其他涨停</t>
        </is>
      </c>
      <c r="O86" s="3" t="inlineStr"/>
      <c r="P86" s="3" t="n"/>
      <c r="Q86" s="3" t="inlineStr">
        <is>
          <t>市场震荡偏弱，指数分化但创业板较强，两市成交额约14144.02亿元，个股宽度使用排行样本估算，强势样本中涨停/20cm个股活跃。当前强势方向：其他涨停。</t>
        </is>
      </c>
    </row>
    <row r="87">
      <c r="A87" s="2" t="inlineStr">
        <is>
          <t>2026-10-15</t>
        </is>
      </c>
      <c r="B87" s="3" t="n">
        <v>-0.0159</v>
      </c>
      <c r="C87" s="3" t="n">
        <v>-0.0243</v>
      </c>
      <c r="D87" s="3" t="n">
        <v>-0.0292</v>
      </c>
      <c r="E87" s="3" t="n">
        <v>16330.05</v>
      </c>
      <c r="F87" s="3" t="n"/>
      <c r="G87" s="3" t="n"/>
      <c r="H87" s="3" t="inlineStr">
        <is>
          <t>震荡偏弱</t>
        </is>
      </c>
      <c r="I87" s="3" t="n">
        <v>38</v>
      </c>
      <c r="J87" s="3" t="n">
        <v>0</v>
      </c>
      <c r="K87" s="3" t="n">
        <v>0</v>
      </c>
      <c r="L87" s="3" t="n">
        <v>5</v>
      </c>
      <c r="M87" s="3" t="inlineStr">
        <is>
          <t>1-2成</t>
        </is>
      </c>
      <c r="N87" s="3" t="inlineStr">
        <is>
          <t>其他涨停</t>
        </is>
      </c>
      <c r="O87" s="3" t="inlineStr"/>
      <c r="P87" s="3" t="n"/>
      <c r="Q87" s="3" t="inlineStr">
        <is>
          <t>市场震荡偏弱，指数分化但创业板较强，两市成交额约16330.05亿元，个股宽度使用排行样本估算，强势样本中涨停/20cm个股活跃。当前强势方向：其他涨停。</t>
        </is>
      </c>
    </row>
    <row r="88">
      <c r="A88" s="2" t="inlineStr">
        <is>
          <t>2026-10-16</t>
        </is>
      </c>
      <c r="B88" s="3" t="n">
        <v>0.0024</v>
      </c>
      <c r="C88" s="3" t="n">
        <v>-0.0012</v>
      </c>
      <c r="D88" s="3" t="n">
        <v>-0.0039</v>
      </c>
      <c r="E88" s="3" t="n">
        <v>15554.21</v>
      </c>
      <c r="F88" s="3" t="n"/>
      <c r="G88" s="3" t="n"/>
      <c r="H88" s="3" t="inlineStr">
        <is>
          <t>震荡</t>
        </is>
      </c>
      <c r="I88" s="3" t="n">
        <v>65</v>
      </c>
      <c r="J88" s="3" t="n">
        <v>0</v>
      </c>
      <c r="K88" s="3" t="n">
        <v>0</v>
      </c>
      <c r="L88" s="3" t="n">
        <v>5</v>
      </c>
      <c r="M88" s="3" t="inlineStr">
        <is>
          <t>2-4成</t>
        </is>
      </c>
      <c r="N88" s="3" t="inlineStr">
        <is>
          <t>其他涨停</t>
        </is>
      </c>
      <c r="O88" s="3" t="inlineStr"/>
      <c r="P88" s="3" t="n"/>
      <c r="Q88" s="3" t="inlineStr">
        <is>
          <t>市场震荡，指数分化但创业板较强，两市成交额约15554.21亿元，个股宽度使用排行样本估算，强势样本中涨停/20cm个股活跃。当前强势方向：其他涨停。</t>
        </is>
      </c>
    </row>
    <row r="89">
      <c r="A89" s="2" t="inlineStr">
        <is>
          <t>2026-10-19</t>
        </is>
      </c>
      <c r="B89" s="3" t="n">
        <v>0.0039</v>
      </c>
      <c r="C89" s="3" t="n">
        <v>0.0013</v>
      </c>
      <c r="D89" s="3" t="n">
        <v>-0.009399999999999999</v>
      </c>
      <c r="E89" s="3" t="n">
        <v>14375.12</v>
      </c>
      <c r="F89" s="3" t="n"/>
      <c r="G89" s="3" t="n"/>
      <c r="H89" s="3" t="inlineStr">
        <is>
          <t>震荡</t>
        </is>
      </c>
      <c r="I89" s="3" t="n">
        <v>47</v>
      </c>
      <c r="J89" s="3" t="n">
        <v>0</v>
      </c>
      <c r="K89" s="3" t="n">
        <v>0</v>
      </c>
      <c r="L89" s="3" t="n">
        <v>5</v>
      </c>
      <c r="M89" s="3" t="inlineStr">
        <is>
          <t>2-4成</t>
        </is>
      </c>
      <c r="N89" s="3" t="inlineStr">
        <is>
          <t>其他涨停</t>
        </is>
      </c>
      <c r="O89" s="3" t="inlineStr"/>
      <c r="P89" s="3" t="n"/>
      <c r="Q89" s="3" t="inlineStr">
        <is>
          <t>市场震荡，指数分化但创业板较强，两市成交额约14375.12亿元，个股宽度使用排行样本估算，强势样本中涨停/20cm个股活跃。当前强势方向：其他涨停。</t>
        </is>
      </c>
    </row>
    <row r="90">
      <c r="A90" s="2" t="inlineStr">
        <is>
          <t>2026-10-20</t>
        </is>
      </c>
      <c r="B90" s="3" t="n">
        <v>0.0012</v>
      </c>
      <c r="C90" s="3" t="n">
        <v>-0.0014</v>
      </c>
      <c r="D90" s="3" t="n">
        <v>-0.0026</v>
      </c>
      <c r="E90" s="3" t="n">
        <v>14561.12</v>
      </c>
      <c r="F90" s="3" t="n"/>
      <c r="G90" s="3" t="n"/>
      <c r="H90" s="3" t="inlineStr">
        <is>
          <t>震荡</t>
        </is>
      </c>
      <c r="I90" s="3" t="n">
        <v>54</v>
      </c>
      <c r="J90" s="3" t="n">
        <v>0</v>
      </c>
      <c r="K90" s="3" t="n">
        <v>0</v>
      </c>
      <c r="L90" s="3" t="n">
        <v>5</v>
      </c>
      <c r="M90" s="3" t="inlineStr">
        <is>
          <t>2-4成</t>
        </is>
      </c>
      <c r="N90" s="3" t="inlineStr">
        <is>
          <t>其他涨停</t>
        </is>
      </c>
      <c r="O90" s="3" t="inlineStr"/>
      <c r="P90" s="3" t="n"/>
      <c r="Q90" s="3" t="inlineStr">
        <is>
          <t>市场震荡，指数分化但创业板较强，两市成交额约14561.12亿元，个股宽度使用排行样本估算，强势样本中涨停/20cm个股活跃。当前强势方向：其他涨停。</t>
        </is>
      </c>
    </row>
    <row r="91">
      <c r="A91" s="2" t="inlineStr">
        <is>
          <t>2026-10-21</t>
        </is>
      </c>
      <c r="B91" s="3" t="n">
        <v>-0.006</v>
      </c>
      <c r="C91" s="3" t="n">
        <v>-0.008199999999999999</v>
      </c>
      <c r="D91" s="3" t="n">
        <v>-0.0162</v>
      </c>
      <c r="E91" s="3" t="n">
        <v>14293.48</v>
      </c>
      <c r="F91" s="3" t="n"/>
      <c r="G91" s="3" t="n"/>
      <c r="H91" s="3" t="inlineStr">
        <is>
          <t>震荡偏弱</t>
        </is>
      </c>
      <c r="I91" s="3" t="n">
        <v>51</v>
      </c>
      <c r="J91" s="3" t="n">
        <v>0</v>
      </c>
      <c r="K91" s="3" t="n">
        <v>0</v>
      </c>
      <c r="L91" s="3" t="n">
        <v>5</v>
      </c>
      <c r="M91" s="3" t="inlineStr">
        <is>
          <t>1-2成</t>
        </is>
      </c>
      <c r="N91" s="3" t="inlineStr">
        <is>
          <t>其他涨停</t>
        </is>
      </c>
      <c r="O91" s="3" t="inlineStr"/>
      <c r="P91" s="3" t="n"/>
      <c r="Q91" s="3" t="inlineStr">
        <is>
          <t>市场震荡偏弱，指数分化但创业板较强，两市成交额约14293.48亿元，个股宽度使用排行样本估算，强势样本中涨停/20cm个股活跃。当前强势方向：其他涨停。</t>
        </is>
      </c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</row>
    <row r="153">
      <c r="A153" s="2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</row>
    <row r="154">
      <c r="A154" s="2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</row>
    <row r="155">
      <c r="A155" s="2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</row>
    <row r="156">
      <c r="A156" s="2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</row>
    <row r="157">
      <c r="A157" s="2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</row>
    <row r="158">
      <c r="A158" s="2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  <row r="159">
      <c r="A159" s="2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</row>
    <row r="160">
      <c r="A160" s="2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</row>
    <row r="161">
      <c r="A161" s="2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</row>
    <row r="162">
      <c r="A162" s="2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</row>
    <row r="163">
      <c r="A163" s="2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</row>
    <row r="164">
      <c r="A164" s="2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</row>
    <row r="165">
      <c r="A165" s="2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</row>
    <row r="166">
      <c r="A166" s="2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</row>
    <row r="167">
      <c r="A167" s="2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</row>
    <row r="168">
      <c r="A168" s="2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</row>
    <row r="169">
      <c r="A169" s="2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</row>
    <row r="170">
      <c r="A170" s="2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</row>
    <row r="171">
      <c r="A171" s="2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</row>
    <row r="172">
      <c r="A172" s="2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</row>
    <row r="173">
      <c r="A173" s="2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</row>
    <row r="174">
      <c r="A174" s="2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</row>
    <row r="175">
      <c r="A175" s="2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</row>
    <row r="176">
      <c r="A176" s="2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</row>
    <row r="177">
      <c r="A177" s="2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</row>
    <row r="178">
      <c r="A178" s="2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</row>
    <row r="179">
      <c r="A179" s="2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</row>
    <row r="180">
      <c r="A180" s="2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</row>
    <row r="181">
      <c r="A181" s="2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</row>
    <row r="182">
      <c r="A182" s="2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</row>
    <row r="183">
      <c r="A183" s="2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</row>
    <row r="184">
      <c r="A184" s="2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</row>
    <row r="185">
      <c r="A185" s="2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</row>
    <row r="186">
      <c r="A186" s="2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</row>
    <row r="187">
      <c r="A187" s="2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</row>
    <row r="188">
      <c r="A188" s="2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</row>
    <row r="189">
      <c r="A189" s="2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</row>
    <row r="190">
      <c r="A190" s="2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</row>
    <row r="191">
      <c r="A191" s="2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</row>
    <row r="192">
      <c r="A192" s="2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</row>
    <row r="193">
      <c r="A193" s="2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</row>
    <row r="194">
      <c r="A194" s="2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</row>
    <row r="195">
      <c r="A195" s="2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</row>
    <row r="196">
      <c r="A196" s="2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</row>
    <row r="197">
      <c r="A197" s="2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</row>
    <row r="198">
      <c r="A198" s="2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</row>
    <row r="199">
      <c r="A199" s="2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</row>
    <row r="200">
      <c r="A200" s="2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</row>
    <row r="201">
      <c r="A201" s="2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</row>
    <row r="202">
      <c r="A202" s="2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</row>
  </sheetData>
  <autoFilter ref="A1:Q202"/>
  <mergeCells count="1">
    <mergeCell ref="A1:Q1"/>
  </mergeCells>
  <dataValidations count="2">
    <dataValidation sqref="H3:H202" showDropDown="0" showInputMessage="0" showErrorMessage="0" allowBlank="1" type="list">
      <formula1>"强势,震荡偏强,震荡,震荡偏弱,弱势"</formula1>
    </dataValidation>
    <dataValidation sqref="M3:M202" showDropDown="0" showInputMessage="0" showErrorMessage="0" allowBlank="1" type="list">
      <formula1>"空仓,1成,2成,3成,4成,5成,6成,7成,8成"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2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9" customWidth="1" min="6" max="6"/>
    <col width="16" customWidth="1" min="7" max="7"/>
    <col width="16" customWidth="1" min="8" max="8"/>
    <col width="28" customWidth="1" min="9" max="9"/>
    <col width="12" customWidth="1" min="10" max="10"/>
    <col width="11" customWidth="1" min="11" max="11"/>
    <col width="12" customWidth="1" min="12" max="12"/>
    <col width="24" customWidth="1" min="13" max="13"/>
    <col width="20" customWidth="1" min="14" max="14"/>
    <col width="20" customWidth="1" min="15" max="15"/>
  </cols>
  <sheetData>
    <row r="1" ht="26" customHeight="1">
      <c r="A1" s="1" t="inlineStr">
        <is>
          <t>板块热点与资金跟踪</t>
        </is>
      </c>
    </row>
    <row r="2" ht="28" customHeight="1">
      <c r="A2" s="6" t="inlineStr">
        <is>
          <t>日期</t>
        </is>
      </c>
      <c r="B2" s="6" t="inlineStr">
        <is>
          <t>板块/概念</t>
        </is>
      </c>
      <c r="C2" s="6" t="inlineStr">
        <is>
          <t>类型</t>
        </is>
      </c>
      <c r="D2" s="6" t="inlineStr">
        <is>
          <t>板块涨幅%</t>
        </is>
      </c>
      <c r="E2" s="6" t="inlineStr">
        <is>
          <t>资金净流入(亿元)</t>
        </is>
      </c>
      <c r="F2" s="6" t="inlineStr">
        <is>
          <t>涨停数</t>
        </is>
      </c>
      <c r="G2" s="6" t="inlineStr">
        <is>
          <t>核心龙头</t>
        </is>
      </c>
      <c r="H2" s="6" t="inlineStr">
        <is>
          <t>梯队/扩散</t>
        </is>
      </c>
      <c r="I2" s="6" t="inlineStr">
        <is>
          <t>催化逻辑</t>
        </is>
      </c>
      <c r="J2" s="6" t="inlineStr">
        <is>
          <t>持续性(1-5)</t>
        </is>
      </c>
      <c r="K2" s="6" t="inlineStr">
        <is>
          <t>强度评分</t>
        </is>
      </c>
      <c r="L2" s="6" t="inlineStr">
        <is>
          <t>明日策略</t>
        </is>
      </c>
      <c r="M2" s="6" t="inlineStr">
        <is>
          <t>观察条件</t>
        </is>
      </c>
      <c r="N2" s="6" t="inlineStr">
        <is>
          <t>风险点</t>
        </is>
      </c>
      <c r="O2" s="6" t="inlineStr">
        <is>
          <t>备注</t>
        </is>
      </c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>
        <f>IF(B3="","",J3*2+MIN(F3,5)+IF(C3="主线",3,IF(C3="轮动",1,0)))</f>
        <v/>
      </c>
      <c r="L3" s="3" t="n"/>
      <c r="M3" s="3" t="n"/>
      <c r="N3" s="3" t="n"/>
      <c r="O3" s="3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>
        <f>IF(B4="","",J4*2+MIN(F4,5)+IF(C4="主线",3,IF(C4="轮动",1,0)))</f>
        <v/>
      </c>
      <c r="L4" s="3" t="n"/>
      <c r="M4" s="3" t="n"/>
      <c r="N4" s="3" t="n"/>
      <c r="O4" s="3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>
        <f>IF(B5="","",J5*2+MIN(F5,5)+IF(C5="主线",3,IF(C5="轮动",1,0)))</f>
        <v/>
      </c>
      <c r="L5" s="3" t="n"/>
      <c r="M5" s="3" t="n"/>
      <c r="N5" s="3" t="n"/>
      <c r="O5" s="3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>
        <f>IF(B6="","",J6*2+MIN(F6,5)+IF(C6="主线",3,IF(C6="轮动",1,0)))</f>
        <v/>
      </c>
      <c r="L6" s="3" t="n"/>
      <c r="M6" s="3" t="n"/>
      <c r="N6" s="3" t="n"/>
      <c r="O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>
        <f>IF(B7="","",J7*2+MIN(F7,5)+IF(C7="主线",3,IF(C7="轮动",1,0)))</f>
        <v/>
      </c>
      <c r="L7" s="3" t="n"/>
      <c r="M7" s="3" t="n"/>
      <c r="N7" s="3" t="n"/>
      <c r="O7" s="3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>
        <f>IF(B8="","",J8*2+MIN(F8,5)+IF(C8="主线",3,IF(C8="轮动",1,0)))</f>
        <v/>
      </c>
      <c r="L8" s="3" t="n"/>
      <c r="M8" s="3" t="n"/>
      <c r="N8" s="3" t="n"/>
      <c r="O8" s="3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>
        <f>IF(B9="","",J9*2+MIN(F9,5)+IF(C9="主线",3,IF(C9="轮动",1,0)))</f>
        <v/>
      </c>
      <c r="L9" s="3" t="n"/>
      <c r="M9" s="3" t="n"/>
      <c r="N9" s="3" t="n"/>
      <c r="O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>
        <f>IF(B10="","",J10*2+MIN(F10,5)+IF(C10="主线",3,IF(C10="轮动",1,0)))</f>
        <v/>
      </c>
      <c r="L10" s="3" t="n"/>
      <c r="M10" s="3" t="n"/>
      <c r="N10" s="3" t="n"/>
      <c r="O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>
        <f>IF(B11="","",J11*2+MIN(F11,5)+IF(C11="主线",3,IF(C11="轮动",1,0)))</f>
        <v/>
      </c>
      <c r="L11" s="3" t="n"/>
      <c r="M11" s="3" t="n"/>
      <c r="N11" s="3" t="n"/>
      <c r="O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>
        <f>IF(B12="","",J12*2+MIN(F12,5)+IF(C12="主线",3,IF(C12="轮动",1,0)))</f>
        <v/>
      </c>
      <c r="L12" s="3" t="n"/>
      <c r="M12" s="3" t="n"/>
      <c r="N12" s="3" t="n"/>
      <c r="O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>
        <f>IF(B13="","",J13*2+MIN(F13,5)+IF(C13="主线",3,IF(C13="轮动",1,0)))</f>
        <v/>
      </c>
      <c r="L13" s="3" t="n"/>
      <c r="M13" s="3" t="n"/>
      <c r="N13" s="3" t="n"/>
      <c r="O13" s="3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>
        <f>IF(B14="","",J14*2+MIN(F14,5)+IF(C14="主线",3,IF(C14="轮动",1,0)))</f>
        <v/>
      </c>
      <c r="L14" s="3" t="n"/>
      <c r="M14" s="3" t="n"/>
      <c r="N14" s="3" t="n"/>
      <c r="O14" s="3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>
        <f>IF(B15="","",J15*2+MIN(F15,5)+IF(C15="主线",3,IF(C15="轮动",1,0)))</f>
        <v/>
      </c>
      <c r="L15" s="3" t="n"/>
      <c r="M15" s="3" t="n"/>
      <c r="N15" s="3" t="n"/>
      <c r="O15" s="3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>
        <f>IF(B16="","",J16*2+MIN(F16,5)+IF(C16="主线",3,IF(C16="轮动",1,0)))</f>
        <v/>
      </c>
      <c r="L16" s="3" t="n"/>
      <c r="M16" s="3" t="n"/>
      <c r="N16" s="3" t="n"/>
      <c r="O16" s="3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>
        <f>IF(B17="","",J17*2+MIN(F17,5)+IF(C17="主线",3,IF(C17="轮动",1,0)))</f>
        <v/>
      </c>
      <c r="L17" s="3" t="n"/>
      <c r="M17" s="3" t="n"/>
      <c r="N17" s="3" t="n"/>
      <c r="O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>
        <f>IF(B18="","",J18*2+MIN(F18,5)+IF(C18="主线",3,IF(C18="轮动",1,0)))</f>
        <v/>
      </c>
      <c r="L18" s="3" t="n"/>
      <c r="M18" s="3" t="n"/>
      <c r="N18" s="3" t="n"/>
      <c r="O18" s="3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>
        <f>IF(B19="","",J19*2+MIN(F19,5)+IF(C19="主线",3,IF(C19="轮动",1,0)))</f>
        <v/>
      </c>
      <c r="L19" s="3" t="n"/>
      <c r="M19" s="3" t="n"/>
      <c r="N19" s="3" t="n"/>
      <c r="O19" s="3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>
        <f>IF(B20="","",J20*2+MIN(F20,5)+IF(C20="主线",3,IF(C20="轮动",1,0)))</f>
        <v/>
      </c>
      <c r="L20" s="3" t="n"/>
      <c r="M20" s="3" t="n"/>
      <c r="N20" s="3" t="n"/>
      <c r="O20" s="3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>
        <f>IF(B21="","",J21*2+MIN(F21,5)+IF(C21="主线",3,IF(C21="轮动",1,0)))</f>
        <v/>
      </c>
      <c r="L21" s="3" t="n"/>
      <c r="M21" s="3" t="n"/>
      <c r="N21" s="3" t="n"/>
      <c r="O21" s="3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>
        <f>IF(B22="","",J22*2+MIN(F22,5)+IF(C22="主线",3,IF(C22="轮动",1,0)))</f>
        <v/>
      </c>
      <c r="L22" s="3" t="n"/>
      <c r="M22" s="3" t="n"/>
      <c r="N22" s="3" t="n"/>
      <c r="O22" s="3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>
        <f>IF(B23="","",J23*2+MIN(F23,5)+IF(C23="主线",3,IF(C23="轮动",1,0)))</f>
        <v/>
      </c>
      <c r="L23" s="3" t="n"/>
      <c r="M23" s="3" t="n"/>
      <c r="N23" s="3" t="n"/>
      <c r="O23" s="3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>
        <f>IF(B24="","",J24*2+MIN(F24,5)+IF(C24="主线",3,IF(C24="轮动",1,0)))</f>
        <v/>
      </c>
      <c r="L24" s="3" t="n"/>
      <c r="M24" s="3" t="n"/>
      <c r="N24" s="3" t="n"/>
      <c r="O24" s="3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>
        <f>IF(B25="","",J25*2+MIN(F25,5)+IF(C25="主线",3,IF(C25="轮动",1,0)))</f>
        <v/>
      </c>
      <c r="L25" s="3" t="n"/>
      <c r="M25" s="3" t="n"/>
      <c r="N25" s="3" t="n"/>
      <c r="O25" s="3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>
        <f>IF(B26="","",J26*2+MIN(F26,5)+IF(C26="主线",3,IF(C26="轮动",1,0)))</f>
        <v/>
      </c>
      <c r="L26" s="3" t="n"/>
      <c r="M26" s="3" t="n"/>
      <c r="N26" s="3" t="n"/>
      <c r="O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>
        <f>IF(B27="","",J27*2+MIN(F27,5)+IF(C27="主线",3,IF(C27="轮动",1,0)))</f>
        <v/>
      </c>
      <c r="L27" s="3" t="n"/>
      <c r="M27" s="3" t="n"/>
      <c r="N27" s="3" t="n"/>
      <c r="O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>
        <f>IF(B28="","",J28*2+MIN(F28,5)+IF(C28="主线",3,IF(C28="轮动",1,0)))</f>
        <v/>
      </c>
      <c r="L28" s="3" t="n"/>
      <c r="M28" s="3" t="n"/>
      <c r="N28" s="3" t="n"/>
      <c r="O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>
        <f>IF(B29="","",J29*2+MIN(F29,5)+IF(C29="主线",3,IF(C29="轮动",1,0)))</f>
        <v/>
      </c>
      <c r="L29" s="3" t="n"/>
      <c r="M29" s="3" t="n"/>
      <c r="N29" s="3" t="n"/>
      <c r="O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>
        <f>IF(B30="","",J30*2+MIN(F30,5)+IF(C30="主线",3,IF(C30="轮动",1,0)))</f>
        <v/>
      </c>
      <c r="L30" s="3" t="n"/>
      <c r="M30" s="3" t="n"/>
      <c r="N30" s="3" t="n"/>
      <c r="O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>
        <f>IF(B31="","",J31*2+MIN(F31,5)+IF(C31="主线",3,IF(C31="轮动",1,0)))</f>
        <v/>
      </c>
      <c r="L31" s="3" t="n"/>
      <c r="M31" s="3" t="n"/>
      <c r="N31" s="3" t="n"/>
      <c r="O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>
        <f>IF(B32="","",J32*2+MIN(F32,5)+IF(C32="主线",3,IF(C32="轮动",1,0)))</f>
        <v/>
      </c>
      <c r="L32" s="3" t="n"/>
      <c r="M32" s="3" t="n"/>
      <c r="N32" s="3" t="n"/>
      <c r="O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>
        <f>IF(B33="","",J33*2+MIN(F33,5)+IF(C33="主线",3,IF(C33="轮动",1,0)))</f>
        <v/>
      </c>
      <c r="L33" s="3" t="n"/>
      <c r="M33" s="3" t="n"/>
      <c r="N33" s="3" t="n"/>
      <c r="O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>
        <f>IF(B34="","",J34*2+MIN(F34,5)+IF(C34="主线",3,IF(C34="轮动",1,0)))</f>
        <v/>
      </c>
      <c r="L34" s="3" t="n"/>
      <c r="M34" s="3" t="n"/>
      <c r="N34" s="3" t="n"/>
      <c r="O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>
        <f>IF(B35="","",J35*2+MIN(F35,5)+IF(C35="主线",3,IF(C35="轮动",1,0)))</f>
        <v/>
      </c>
      <c r="L35" s="3" t="n"/>
      <c r="M35" s="3" t="n"/>
      <c r="N35" s="3" t="n"/>
      <c r="O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>
        <f>IF(B36="","",J36*2+MIN(F36,5)+IF(C36="主线",3,IF(C36="轮动",1,0)))</f>
        <v/>
      </c>
      <c r="L36" s="3" t="n"/>
      <c r="M36" s="3" t="n"/>
      <c r="N36" s="3" t="n"/>
      <c r="O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>
        <f>IF(B37="","",J37*2+MIN(F37,5)+IF(C37="主线",3,IF(C37="轮动",1,0)))</f>
        <v/>
      </c>
      <c r="L37" s="3" t="n"/>
      <c r="M37" s="3" t="n"/>
      <c r="N37" s="3" t="n"/>
      <c r="O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>
        <f>IF(B38="","",J38*2+MIN(F38,5)+IF(C38="主线",3,IF(C38="轮动",1,0)))</f>
        <v/>
      </c>
      <c r="L38" s="3" t="n"/>
      <c r="M38" s="3" t="n"/>
      <c r="N38" s="3" t="n"/>
      <c r="O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>
        <f>IF(B39="","",J39*2+MIN(F39,5)+IF(C39="主线",3,IF(C39="轮动",1,0)))</f>
        <v/>
      </c>
      <c r="L39" s="3" t="n"/>
      <c r="M39" s="3" t="n"/>
      <c r="N39" s="3" t="n"/>
      <c r="O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>
        <f>IF(B40="","",J40*2+MIN(F40,5)+IF(C40="主线",3,IF(C40="轮动",1,0)))</f>
        <v/>
      </c>
      <c r="L40" s="3" t="n"/>
      <c r="M40" s="3" t="n"/>
      <c r="N40" s="3" t="n"/>
      <c r="O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>
        <f>IF(B41="","",J41*2+MIN(F41,5)+IF(C41="主线",3,IF(C41="轮动",1,0)))</f>
        <v/>
      </c>
      <c r="L41" s="3" t="n"/>
      <c r="M41" s="3" t="n"/>
      <c r="N41" s="3" t="n"/>
      <c r="O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>
        <f>IF(B42="","",J42*2+MIN(F42,5)+IF(C42="主线",3,IF(C42="轮动",1,0)))</f>
        <v/>
      </c>
      <c r="L42" s="3" t="n"/>
      <c r="M42" s="3" t="n"/>
      <c r="N42" s="3" t="n"/>
      <c r="O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>
        <f>IF(B43="","",J43*2+MIN(F43,5)+IF(C43="主线",3,IF(C43="轮动",1,0)))</f>
        <v/>
      </c>
      <c r="L43" s="3" t="n"/>
      <c r="M43" s="3" t="n"/>
      <c r="N43" s="3" t="n"/>
      <c r="O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>
        <f>IF(B44="","",J44*2+MIN(F44,5)+IF(C44="主线",3,IF(C44="轮动",1,0)))</f>
        <v/>
      </c>
      <c r="L44" s="3" t="n"/>
      <c r="M44" s="3" t="n"/>
      <c r="N44" s="3" t="n"/>
      <c r="O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>
        <f>IF(B45="","",J45*2+MIN(F45,5)+IF(C45="主线",3,IF(C45="轮动",1,0)))</f>
        <v/>
      </c>
      <c r="L45" s="3" t="n"/>
      <c r="M45" s="3" t="n"/>
      <c r="N45" s="3" t="n"/>
      <c r="O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>
        <f>IF(B46="","",J46*2+MIN(F46,5)+IF(C46="主线",3,IF(C46="轮动",1,0)))</f>
        <v/>
      </c>
      <c r="L46" s="3" t="n"/>
      <c r="M46" s="3" t="n"/>
      <c r="N46" s="3" t="n"/>
      <c r="O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>
        <f>IF(B47="","",J47*2+MIN(F47,5)+IF(C47="主线",3,IF(C47="轮动",1,0)))</f>
        <v/>
      </c>
      <c r="L47" s="3" t="n"/>
      <c r="M47" s="3" t="n"/>
      <c r="N47" s="3" t="n"/>
      <c r="O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>
        <f>IF(B48="","",J48*2+MIN(F48,5)+IF(C48="主线",3,IF(C48="轮动",1,0)))</f>
        <v/>
      </c>
      <c r="L48" s="3" t="n"/>
      <c r="M48" s="3" t="n"/>
      <c r="N48" s="3" t="n"/>
      <c r="O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>
        <f>IF(B49="","",J49*2+MIN(F49,5)+IF(C49="主线",3,IF(C49="轮动",1,0)))</f>
        <v/>
      </c>
      <c r="L49" s="3" t="n"/>
      <c r="M49" s="3" t="n"/>
      <c r="N49" s="3" t="n"/>
      <c r="O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>
        <f>IF(B50="","",J50*2+MIN(F50,5)+IF(C50="主线",3,IF(C50="轮动",1,0)))</f>
        <v/>
      </c>
      <c r="L50" s="3" t="n"/>
      <c r="M50" s="3" t="n"/>
      <c r="N50" s="3" t="n"/>
      <c r="O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>
        <f>IF(B51="","",J51*2+MIN(F51,5)+IF(C51="主线",3,IF(C51="轮动",1,0)))</f>
        <v/>
      </c>
      <c r="L51" s="3" t="n"/>
      <c r="M51" s="3" t="n"/>
      <c r="N51" s="3" t="n"/>
      <c r="O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>
        <f>IF(B52="","",J52*2+MIN(F52,5)+IF(C52="主线",3,IF(C52="轮动",1,0)))</f>
        <v/>
      </c>
      <c r="L52" s="3" t="n"/>
      <c r="M52" s="3" t="n"/>
      <c r="N52" s="3" t="n"/>
      <c r="O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>
        <f>IF(B53="","",J53*2+MIN(F53,5)+IF(C53="主线",3,IF(C53="轮动",1,0)))</f>
        <v/>
      </c>
      <c r="L53" s="3" t="n"/>
      <c r="M53" s="3" t="n"/>
      <c r="N53" s="3" t="n"/>
      <c r="O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>
        <f>IF(B54="","",J54*2+MIN(F54,5)+IF(C54="主线",3,IF(C54="轮动",1,0)))</f>
        <v/>
      </c>
      <c r="L54" s="3" t="n"/>
      <c r="M54" s="3" t="n"/>
      <c r="N54" s="3" t="n"/>
      <c r="O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>
        <f>IF(B55="","",J55*2+MIN(F55,5)+IF(C55="主线",3,IF(C55="轮动",1,0)))</f>
        <v/>
      </c>
      <c r="L55" s="3" t="n"/>
      <c r="M55" s="3" t="n"/>
      <c r="N55" s="3" t="n"/>
      <c r="O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>
        <f>IF(B56="","",J56*2+MIN(F56,5)+IF(C56="主线",3,IF(C56="轮动",1,0)))</f>
        <v/>
      </c>
      <c r="L56" s="3" t="n"/>
      <c r="M56" s="3" t="n"/>
      <c r="N56" s="3" t="n"/>
      <c r="O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>
        <f>IF(B57="","",J57*2+MIN(F57,5)+IF(C57="主线",3,IF(C57="轮动",1,0)))</f>
        <v/>
      </c>
      <c r="L57" s="3" t="n"/>
      <c r="M57" s="3" t="n"/>
      <c r="N57" s="3" t="n"/>
      <c r="O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>
        <f>IF(B58="","",J58*2+MIN(F58,5)+IF(C58="主线",3,IF(C58="轮动",1,0)))</f>
        <v/>
      </c>
      <c r="L58" s="3" t="n"/>
      <c r="M58" s="3" t="n"/>
      <c r="N58" s="3" t="n"/>
      <c r="O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>
        <f>IF(B59="","",J59*2+MIN(F59,5)+IF(C59="主线",3,IF(C59="轮动",1,0)))</f>
        <v/>
      </c>
      <c r="L59" s="3" t="n"/>
      <c r="M59" s="3" t="n"/>
      <c r="N59" s="3" t="n"/>
      <c r="O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>
        <f>IF(B60="","",J60*2+MIN(F60,5)+IF(C60="主线",3,IF(C60="轮动",1,0)))</f>
        <v/>
      </c>
      <c r="L60" s="3" t="n"/>
      <c r="M60" s="3" t="n"/>
      <c r="N60" s="3" t="n"/>
      <c r="O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>
        <f>IF(B61="","",J61*2+MIN(F61,5)+IF(C61="主线",3,IF(C61="轮动",1,0)))</f>
        <v/>
      </c>
      <c r="L61" s="3" t="n"/>
      <c r="M61" s="3" t="n"/>
      <c r="N61" s="3" t="n"/>
      <c r="O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>
        <f>IF(B62="","",J62*2+MIN(F62,5)+IF(C62="主线",3,IF(C62="轮动",1,0)))</f>
        <v/>
      </c>
      <c r="L62" s="3" t="n"/>
      <c r="M62" s="3" t="n"/>
      <c r="N62" s="3" t="n"/>
      <c r="O62" s="3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>
        <f>IF(B63="","",J63*2+MIN(F63,5)+IF(C63="主线",3,IF(C63="轮动",1,0)))</f>
        <v/>
      </c>
      <c r="L63" s="3" t="n"/>
      <c r="M63" s="3" t="n"/>
      <c r="N63" s="3" t="n"/>
      <c r="O63" s="3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>
        <f>IF(B64="","",J64*2+MIN(F64,5)+IF(C64="主线",3,IF(C64="轮动",1,0)))</f>
        <v/>
      </c>
      <c r="L64" s="3" t="n"/>
      <c r="M64" s="3" t="n"/>
      <c r="N64" s="3" t="n"/>
      <c r="O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>
        <f>IF(B65="","",J65*2+MIN(F65,5)+IF(C65="主线",3,IF(C65="轮动",1,0)))</f>
        <v/>
      </c>
      <c r="L65" s="3" t="n"/>
      <c r="M65" s="3" t="n"/>
      <c r="N65" s="3" t="n"/>
      <c r="O65" s="3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>
        <f>IF(B66="","",J66*2+MIN(F66,5)+IF(C66="主线",3,IF(C66="轮动",1,0)))</f>
        <v/>
      </c>
      <c r="L66" s="3" t="n"/>
      <c r="M66" s="3" t="n"/>
      <c r="N66" s="3" t="n"/>
      <c r="O66" s="3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>
        <f>IF(B67="","",J67*2+MIN(F67,5)+IF(C67="主线",3,IF(C67="轮动",1,0)))</f>
        <v/>
      </c>
      <c r="L67" s="3" t="n"/>
      <c r="M67" s="3" t="n"/>
      <c r="N67" s="3" t="n"/>
      <c r="O67" s="3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>
        <f>IF(B68="","",J68*2+MIN(F68,5)+IF(C68="主线",3,IF(C68="轮动",1,0)))</f>
        <v/>
      </c>
      <c r="L68" s="3" t="n"/>
      <c r="M68" s="3" t="n"/>
      <c r="N68" s="3" t="n"/>
      <c r="O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>
        <f>IF(B69="","",J69*2+MIN(F69,5)+IF(C69="主线",3,IF(C69="轮动",1,0)))</f>
        <v/>
      </c>
      <c r="L69" s="3" t="n"/>
      <c r="M69" s="3" t="n"/>
      <c r="N69" s="3" t="n"/>
      <c r="O69" s="3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>
        <f>IF(B70="","",J70*2+MIN(F70,5)+IF(C70="主线",3,IF(C70="轮动",1,0)))</f>
        <v/>
      </c>
      <c r="L70" s="3" t="n"/>
      <c r="M70" s="3" t="n"/>
      <c r="N70" s="3" t="n"/>
      <c r="O70" s="3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>
        <f>IF(B71="","",J71*2+MIN(F71,5)+IF(C71="主线",3,IF(C71="轮动",1,0)))</f>
        <v/>
      </c>
      <c r="L71" s="3" t="n"/>
      <c r="M71" s="3" t="n"/>
      <c r="N71" s="3" t="n"/>
      <c r="O71" s="3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>
        <f>IF(B72="","",J72*2+MIN(F72,5)+IF(C72="主线",3,IF(C72="轮动",1,0)))</f>
        <v/>
      </c>
      <c r="L72" s="3" t="n"/>
      <c r="M72" s="3" t="n"/>
      <c r="N72" s="3" t="n"/>
      <c r="O72" s="3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>
        <f>IF(B73="","",J73*2+MIN(F73,5)+IF(C73="主线",3,IF(C73="轮动",1,0)))</f>
        <v/>
      </c>
      <c r="L73" s="3" t="n"/>
      <c r="M73" s="3" t="n"/>
      <c r="N73" s="3" t="n"/>
      <c r="O73" s="3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>
        <f>IF(B74="","",J74*2+MIN(F74,5)+IF(C74="主线",3,IF(C74="轮动",1,0)))</f>
        <v/>
      </c>
      <c r="L74" s="3" t="n"/>
      <c r="M74" s="3" t="n"/>
      <c r="N74" s="3" t="n"/>
      <c r="O74" s="3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>
        <f>IF(B75="","",J75*2+MIN(F75,5)+IF(C75="主线",3,IF(C75="轮动",1,0)))</f>
        <v/>
      </c>
      <c r="L75" s="3" t="n"/>
      <c r="M75" s="3" t="n"/>
      <c r="N75" s="3" t="n"/>
      <c r="O75" s="3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>
        <f>IF(B76="","",J76*2+MIN(F76,5)+IF(C76="主线",3,IF(C76="轮动",1,0)))</f>
        <v/>
      </c>
      <c r="L76" s="3" t="n"/>
      <c r="M76" s="3" t="n"/>
      <c r="N76" s="3" t="n"/>
      <c r="O76" s="3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>
        <f>IF(B77="","",J77*2+MIN(F77,5)+IF(C77="主线",3,IF(C77="轮动",1,0)))</f>
        <v/>
      </c>
      <c r="L77" s="3" t="n"/>
      <c r="M77" s="3" t="n"/>
      <c r="N77" s="3" t="n"/>
      <c r="O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>
        <f>IF(B78="","",J78*2+MIN(F78,5)+IF(C78="主线",3,IF(C78="轮动",1,0)))</f>
        <v/>
      </c>
      <c r="L78" s="3" t="n"/>
      <c r="M78" s="3" t="n"/>
      <c r="N78" s="3" t="n"/>
      <c r="O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>
        <f>IF(B79="","",J79*2+MIN(F79,5)+IF(C79="主线",3,IF(C79="轮动",1,0)))</f>
        <v/>
      </c>
      <c r="L79" s="3" t="n"/>
      <c r="M79" s="3" t="n"/>
      <c r="N79" s="3" t="n"/>
      <c r="O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>
        <f>IF(B80="","",J80*2+MIN(F80,5)+IF(C80="主线",3,IF(C80="轮动",1,0)))</f>
        <v/>
      </c>
      <c r="L80" s="3" t="n"/>
      <c r="M80" s="3" t="n"/>
      <c r="N80" s="3" t="n"/>
      <c r="O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>
        <f>IF(B81="","",J81*2+MIN(F81,5)+IF(C81="主线",3,IF(C81="轮动",1,0)))</f>
        <v/>
      </c>
      <c r="L81" s="3" t="n"/>
      <c r="M81" s="3" t="n"/>
      <c r="N81" s="3" t="n"/>
      <c r="O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>
        <f>IF(B82="","",J82*2+MIN(F82,5)+IF(C82="主线",3,IF(C82="轮动",1,0)))</f>
        <v/>
      </c>
      <c r="L82" s="3" t="n"/>
      <c r="M82" s="3" t="n"/>
      <c r="N82" s="3" t="n"/>
      <c r="O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>
        <f>IF(B83="","",J83*2+MIN(F83,5)+IF(C83="主线",3,IF(C83="轮动",1,0)))</f>
        <v/>
      </c>
      <c r="L83" s="3" t="n"/>
      <c r="M83" s="3" t="n"/>
      <c r="N83" s="3" t="n"/>
      <c r="O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>
        <f>IF(B84="","",J84*2+MIN(F84,5)+IF(C84="主线",3,IF(C84="轮动",1,0)))</f>
        <v/>
      </c>
      <c r="L84" s="3" t="n"/>
      <c r="M84" s="3" t="n"/>
      <c r="N84" s="3" t="n"/>
      <c r="O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>
        <f>IF(B85="","",J85*2+MIN(F85,5)+IF(C85="主线",3,IF(C85="轮动",1,0)))</f>
        <v/>
      </c>
      <c r="L85" s="3" t="n"/>
      <c r="M85" s="3" t="n"/>
      <c r="N85" s="3" t="n"/>
      <c r="O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>
        <f>IF(B86="","",J86*2+MIN(F86,5)+IF(C86="主线",3,IF(C86="轮动",1,0)))</f>
        <v/>
      </c>
      <c r="L86" s="3" t="n"/>
      <c r="M86" s="3" t="n"/>
      <c r="N86" s="3" t="n"/>
      <c r="O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>
        <f>IF(B87="","",J87*2+MIN(F87,5)+IF(C87="主线",3,IF(C87="轮动",1,0)))</f>
        <v/>
      </c>
      <c r="L87" s="3" t="n"/>
      <c r="M87" s="3" t="n"/>
      <c r="N87" s="3" t="n"/>
      <c r="O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>
        <f>IF(B88="","",J88*2+MIN(F88,5)+IF(C88="主线",3,IF(C88="轮动",1,0)))</f>
        <v/>
      </c>
      <c r="L88" s="3" t="n"/>
      <c r="M88" s="3" t="n"/>
      <c r="N88" s="3" t="n"/>
      <c r="O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>
        <f>IF(B89="","",J89*2+MIN(F89,5)+IF(C89="主线",3,IF(C89="轮动",1,0)))</f>
        <v/>
      </c>
      <c r="L89" s="3" t="n"/>
      <c r="M89" s="3" t="n"/>
      <c r="N89" s="3" t="n"/>
      <c r="O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>
        <f>IF(B90="","",J90*2+MIN(F90,5)+IF(C90="主线",3,IF(C90="轮动",1,0)))</f>
        <v/>
      </c>
      <c r="L90" s="3" t="n"/>
      <c r="M90" s="3" t="n"/>
      <c r="N90" s="3" t="n"/>
      <c r="O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>
        <f>IF(B91="","",J91*2+MIN(F91,5)+IF(C91="主线",3,IF(C91="轮动",1,0)))</f>
        <v/>
      </c>
      <c r="L91" s="3" t="n"/>
      <c r="M91" s="3" t="n"/>
      <c r="N91" s="3" t="n"/>
      <c r="O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>
        <f>IF(B92="","",J92*2+MIN(F92,5)+IF(C92="主线",3,IF(C92="轮动",1,0)))</f>
        <v/>
      </c>
      <c r="L92" s="3" t="n"/>
      <c r="M92" s="3" t="n"/>
      <c r="N92" s="3" t="n"/>
      <c r="O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>
        <f>IF(B93="","",J93*2+MIN(F93,5)+IF(C93="主线",3,IF(C93="轮动",1,0)))</f>
        <v/>
      </c>
      <c r="L93" s="3" t="n"/>
      <c r="M93" s="3" t="n"/>
      <c r="N93" s="3" t="n"/>
      <c r="O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>
        <f>IF(B94="","",J94*2+MIN(F94,5)+IF(C94="主线",3,IF(C94="轮动",1,0)))</f>
        <v/>
      </c>
      <c r="L94" s="3" t="n"/>
      <c r="M94" s="3" t="n"/>
      <c r="N94" s="3" t="n"/>
      <c r="O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>
        <f>IF(B95="","",J95*2+MIN(F95,5)+IF(C95="主线",3,IF(C95="轮动",1,0)))</f>
        <v/>
      </c>
      <c r="L95" s="3" t="n"/>
      <c r="M95" s="3" t="n"/>
      <c r="N95" s="3" t="n"/>
      <c r="O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>
        <f>IF(B96="","",J96*2+MIN(F96,5)+IF(C96="主线",3,IF(C96="轮动",1,0)))</f>
        <v/>
      </c>
      <c r="L96" s="3" t="n"/>
      <c r="M96" s="3" t="n"/>
      <c r="N96" s="3" t="n"/>
      <c r="O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>
        <f>IF(B97="","",J97*2+MIN(F97,5)+IF(C97="主线",3,IF(C97="轮动",1,0)))</f>
        <v/>
      </c>
      <c r="L97" s="3" t="n"/>
      <c r="M97" s="3" t="n"/>
      <c r="N97" s="3" t="n"/>
      <c r="O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>
        <f>IF(B98="","",J98*2+MIN(F98,5)+IF(C98="主线",3,IF(C98="轮动",1,0)))</f>
        <v/>
      </c>
      <c r="L98" s="3" t="n"/>
      <c r="M98" s="3" t="n"/>
      <c r="N98" s="3" t="n"/>
      <c r="O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>
        <f>IF(B99="","",J99*2+MIN(F99,5)+IF(C99="主线",3,IF(C99="轮动",1,0)))</f>
        <v/>
      </c>
      <c r="L99" s="3" t="n"/>
      <c r="M99" s="3" t="n"/>
      <c r="N99" s="3" t="n"/>
      <c r="O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>
        <f>IF(B100="","",J100*2+MIN(F100,5)+IF(C100="主线",3,IF(C100="轮动",1,0)))</f>
        <v/>
      </c>
      <c r="L100" s="3" t="n"/>
      <c r="M100" s="3" t="n"/>
      <c r="N100" s="3" t="n"/>
      <c r="O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>
        <f>IF(B101="","",J101*2+MIN(F101,5)+IF(C101="主线",3,IF(C101="轮动",1,0)))</f>
        <v/>
      </c>
      <c r="L101" s="3" t="n"/>
      <c r="M101" s="3" t="n"/>
      <c r="N101" s="3" t="n"/>
      <c r="O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>
        <f>IF(B102="","",J102*2+MIN(F102,5)+IF(C102="主线",3,IF(C102="轮动",1,0)))</f>
        <v/>
      </c>
      <c r="L102" s="3" t="n"/>
      <c r="M102" s="3" t="n"/>
      <c r="N102" s="3" t="n"/>
      <c r="O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>
        <f>IF(B103="","",J103*2+MIN(F103,5)+IF(C103="主线",3,IF(C103="轮动",1,0)))</f>
        <v/>
      </c>
      <c r="L103" s="3" t="n"/>
      <c r="M103" s="3" t="n"/>
      <c r="N103" s="3" t="n"/>
      <c r="O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>
        <f>IF(B104="","",J104*2+MIN(F104,5)+IF(C104="主线",3,IF(C104="轮动",1,0)))</f>
        <v/>
      </c>
      <c r="L104" s="3" t="n"/>
      <c r="M104" s="3" t="n"/>
      <c r="N104" s="3" t="n"/>
      <c r="O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>
        <f>IF(B105="","",J105*2+MIN(F105,5)+IF(C105="主线",3,IF(C105="轮动",1,0)))</f>
        <v/>
      </c>
      <c r="L105" s="3" t="n"/>
      <c r="M105" s="3" t="n"/>
      <c r="N105" s="3" t="n"/>
      <c r="O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>
        <f>IF(B106="","",J106*2+MIN(F106,5)+IF(C106="主线",3,IF(C106="轮动",1,0)))</f>
        <v/>
      </c>
      <c r="L106" s="3" t="n"/>
      <c r="M106" s="3" t="n"/>
      <c r="N106" s="3" t="n"/>
      <c r="O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>
        <f>IF(B107="","",J107*2+MIN(F107,5)+IF(C107="主线",3,IF(C107="轮动",1,0)))</f>
        <v/>
      </c>
      <c r="L107" s="3" t="n"/>
      <c r="M107" s="3" t="n"/>
      <c r="N107" s="3" t="n"/>
      <c r="O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>
        <f>IF(B108="","",J108*2+MIN(F108,5)+IF(C108="主线",3,IF(C108="轮动",1,0)))</f>
        <v/>
      </c>
      <c r="L108" s="3" t="n"/>
      <c r="M108" s="3" t="n"/>
      <c r="N108" s="3" t="n"/>
      <c r="O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>
        <f>IF(B109="","",J109*2+MIN(F109,5)+IF(C109="主线",3,IF(C109="轮动",1,0)))</f>
        <v/>
      </c>
      <c r="L109" s="3" t="n"/>
      <c r="M109" s="3" t="n"/>
      <c r="N109" s="3" t="n"/>
      <c r="O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>
        <f>IF(B110="","",J110*2+MIN(F110,5)+IF(C110="主线",3,IF(C110="轮动",1,0)))</f>
        <v/>
      </c>
      <c r="L110" s="3" t="n"/>
      <c r="M110" s="3" t="n"/>
      <c r="N110" s="3" t="n"/>
      <c r="O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>
        <f>IF(B111="","",J111*2+MIN(F111,5)+IF(C111="主线",3,IF(C111="轮动",1,0)))</f>
        <v/>
      </c>
      <c r="L111" s="3" t="n"/>
      <c r="M111" s="3" t="n"/>
      <c r="N111" s="3" t="n"/>
      <c r="O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>
        <f>IF(B112="","",J112*2+MIN(F112,5)+IF(C112="主线",3,IF(C112="轮动",1,0)))</f>
        <v/>
      </c>
      <c r="L112" s="3" t="n"/>
      <c r="M112" s="3" t="n"/>
      <c r="N112" s="3" t="n"/>
      <c r="O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>
        <f>IF(B113="","",J113*2+MIN(F113,5)+IF(C113="主线",3,IF(C113="轮动",1,0)))</f>
        <v/>
      </c>
      <c r="L113" s="3" t="n"/>
      <c r="M113" s="3" t="n"/>
      <c r="N113" s="3" t="n"/>
      <c r="O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>
        <f>IF(B114="","",J114*2+MIN(F114,5)+IF(C114="主线",3,IF(C114="轮动",1,0)))</f>
        <v/>
      </c>
      <c r="L114" s="3" t="n"/>
      <c r="M114" s="3" t="n"/>
      <c r="N114" s="3" t="n"/>
      <c r="O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>
        <f>IF(B115="","",J115*2+MIN(F115,5)+IF(C115="主线",3,IF(C115="轮动",1,0)))</f>
        <v/>
      </c>
      <c r="L115" s="3" t="n"/>
      <c r="M115" s="3" t="n"/>
      <c r="N115" s="3" t="n"/>
      <c r="O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>
        <f>IF(B116="","",J116*2+MIN(F116,5)+IF(C116="主线",3,IF(C116="轮动",1,0)))</f>
        <v/>
      </c>
      <c r="L116" s="3" t="n"/>
      <c r="M116" s="3" t="n"/>
      <c r="N116" s="3" t="n"/>
      <c r="O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>
        <f>IF(B117="","",J117*2+MIN(F117,5)+IF(C117="主线",3,IF(C117="轮动",1,0)))</f>
        <v/>
      </c>
      <c r="L117" s="3" t="n"/>
      <c r="M117" s="3" t="n"/>
      <c r="N117" s="3" t="n"/>
      <c r="O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>
        <f>IF(B118="","",J118*2+MIN(F118,5)+IF(C118="主线",3,IF(C118="轮动",1,0)))</f>
        <v/>
      </c>
      <c r="L118" s="3" t="n"/>
      <c r="M118" s="3" t="n"/>
      <c r="N118" s="3" t="n"/>
      <c r="O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>
        <f>IF(B119="","",J119*2+MIN(F119,5)+IF(C119="主线",3,IF(C119="轮动",1,0)))</f>
        <v/>
      </c>
      <c r="L119" s="3" t="n"/>
      <c r="M119" s="3" t="n"/>
      <c r="N119" s="3" t="n"/>
      <c r="O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>
        <f>IF(B120="","",J120*2+MIN(F120,5)+IF(C120="主线",3,IF(C120="轮动",1,0)))</f>
        <v/>
      </c>
      <c r="L120" s="3" t="n"/>
      <c r="M120" s="3" t="n"/>
      <c r="N120" s="3" t="n"/>
      <c r="O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>
        <f>IF(B121="","",J121*2+MIN(F121,5)+IF(C121="主线",3,IF(C121="轮动",1,0)))</f>
        <v/>
      </c>
      <c r="L121" s="3" t="n"/>
      <c r="M121" s="3" t="n"/>
      <c r="N121" s="3" t="n"/>
      <c r="O121" s="3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>
        <f>IF(B122="","",J122*2+MIN(F122,5)+IF(C122="主线",3,IF(C122="轮动",1,0)))</f>
        <v/>
      </c>
      <c r="L122" s="3" t="n"/>
      <c r="M122" s="3" t="n"/>
      <c r="N122" s="3" t="n"/>
      <c r="O122" s="3" t="n"/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>
        <f>IF(B123="","",J123*2+MIN(F123,5)+IF(C123="主线",3,IF(C123="轮动",1,0)))</f>
        <v/>
      </c>
      <c r="L123" s="3" t="n"/>
      <c r="M123" s="3" t="n"/>
      <c r="N123" s="3" t="n"/>
      <c r="O123" s="3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>
        <f>IF(B124="","",J124*2+MIN(F124,5)+IF(C124="主线",3,IF(C124="轮动",1,0)))</f>
        <v/>
      </c>
      <c r="L124" s="3" t="n"/>
      <c r="M124" s="3" t="n"/>
      <c r="N124" s="3" t="n"/>
      <c r="O124" s="3" t="n"/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>
        <f>IF(B125="","",J125*2+MIN(F125,5)+IF(C125="主线",3,IF(C125="轮动",1,0)))</f>
        <v/>
      </c>
      <c r="L125" s="3" t="n"/>
      <c r="M125" s="3" t="n"/>
      <c r="N125" s="3" t="n"/>
      <c r="O125" s="3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>
        <f>IF(B126="","",J126*2+MIN(F126,5)+IF(C126="主线",3,IF(C126="轮动",1,0)))</f>
        <v/>
      </c>
      <c r="L126" s="3" t="n"/>
      <c r="M126" s="3" t="n"/>
      <c r="N126" s="3" t="n"/>
      <c r="O126" s="3" t="n"/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>
        <f>IF(B127="","",J127*2+MIN(F127,5)+IF(C127="主线",3,IF(C127="轮动",1,0)))</f>
        <v/>
      </c>
      <c r="L127" s="3" t="n"/>
      <c r="M127" s="3" t="n"/>
      <c r="N127" s="3" t="n"/>
      <c r="O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>
        <f>IF(B128="","",J128*2+MIN(F128,5)+IF(C128="主线",3,IF(C128="轮动",1,0)))</f>
        <v/>
      </c>
      <c r="L128" s="3" t="n"/>
      <c r="M128" s="3" t="n"/>
      <c r="N128" s="3" t="n"/>
      <c r="O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>
        <f>IF(B129="","",J129*2+MIN(F129,5)+IF(C129="主线",3,IF(C129="轮动",1,0)))</f>
        <v/>
      </c>
      <c r="L129" s="3" t="n"/>
      <c r="M129" s="3" t="n"/>
      <c r="N129" s="3" t="n"/>
      <c r="O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>
        <f>IF(B130="","",J130*2+MIN(F130,5)+IF(C130="主线",3,IF(C130="轮动",1,0)))</f>
        <v/>
      </c>
      <c r="L130" s="3" t="n"/>
      <c r="M130" s="3" t="n"/>
      <c r="N130" s="3" t="n"/>
      <c r="O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>
        <f>IF(B131="","",J131*2+MIN(F131,5)+IF(C131="主线",3,IF(C131="轮动",1,0)))</f>
        <v/>
      </c>
      <c r="L131" s="3" t="n"/>
      <c r="M131" s="3" t="n"/>
      <c r="N131" s="3" t="n"/>
      <c r="O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>
        <f>IF(B132="","",J132*2+MIN(F132,5)+IF(C132="主线",3,IF(C132="轮动",1,0)))</f>
        <v/>
      </c>
      <c r="L132" s="3" t="n"/>
      <c r="M132" s="3" t="n"/>
      <c r="N132" s="3" t="n"/>
      <c r="O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>
        <f>IF(B133="","",J133*2+MIN(F133,5)+IF(C133="主线",3,IF(C133="轮动",1,0)))</f>
        <v/>
      </c>
      <c r="L133" s="3" t="n"/>
      <c r="M133" s="3" t="n"/>
      <c r="N133" s="3" t="n"/>
      <c r="O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>
        <f>IF(B134="","",J134*2+MIN(F134,5)+IF(C134="主线",3,IF(C134="轮动",1,0)))</f>
        <v/>
      </c>
      <c r="L134" s="3" t="n"/>
      <c r="M134" s="3" t="n"/>
      <c r="N134" s="3" t="n"/>
      <c r="O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>
        <f>IF(B135="","",J135*2+MIN(F135,5)+IF(C135="主线",3,IF(C135="轮动",1,0)))</f>
        <v/>
      </c>
      <c r="L135" s="3" t="n"/>
      <c r="M135" s="3" t="n"/>
      <c r="N135" s="3" t="n"/>
      <c r="O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>
        <f>IF(B136="","",J136*2+MIN(F136,5)+IF(C136="主线",3,IF(C136="轮动",1,0)))</f>
        <v/>
      </c>
      <c r="L136" s="3" t="n"/>
      <c r="M136" s="3" t="n"/>
      <c r="N136" s="3" t="n"/>
      <c r="O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>
        <f>IF(B137="","",J137*2+MIN(F137,5)+IF(C137="主线",3,IF(C137="轮动",1,0)))</f>
        <v/>
      </c>
      <c r="L137" s="3" t="n"/>
      <c r="M137" s="3" t="n"/>
      <c r="N137" s="3" t="n"/>
      <c r="O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>
        <f>IF(B138="","",J138*2+MIN(F138,5)+IF(C138="主线",3,IF(C138="轮动",1,0)))</f>
        <v/>
      </c>
      <c r="L138" s="3" t="n"/>
      <c r="M138" s="3" t="n"/>
      <c r="N138" s="3" t="n"/>
      <c r="O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>
        <f>IF(B139="","",J139*2+MIN(F139,5)+IF(C139="主线",3,IF(C139="轮动",1,0)))</f>
        <v/>
      </c>
      <c r="L139" s="3" t="n"/>
      <c r="M139" s="3" t="n"/>
      <c r="N139" s="3" t="n"/>
      <c r="O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>
        <f>IF(B140="","",J140*2+MIN(F140,5)+IF(C140="主线",3,IF(C140="轮动",1,0)))</f>
        <v/>
      </c>
      <c r="L140" s="3" t="n"/>
      <c r="M140" s="3" t="n"/>
      <c r="N140" s="3" t="n"/>
      <c r="O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>
        <f>IF(B141="","",J141*2+MIN(F141,5)+IF(C141="主线",3,IF(C141="轮动",1,0)))</f>
        <v/>
      </c>
      <c r="L141" s="3" t="n"/>
      <c r="M141" s="3" t="n"/>
      <c r="N141" s="3" t="n"/>
      <c r="O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>
        <f>IF(B142="","",J142*2+MIN(F142,5)+IF(C142="主线",3,IF(C142="轮动",1,0)))</f>
        <v/>
      </c>
      <c r="L142" s="3" t="n"/>
      <c r="M142" s="3" t="n"/>
      <c r="N142" s="3" t="n"/>
      <c r="O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>
        <f>IF(B143="","",J143*2+MIN(F143,5)+IF(C143="主线",3,IF(C143="轮动",1,0)))</f>
        <v/>
      </c>
      <c r="L143" s="3" t="n"/>
      <c r="M143" s="3" t="n"/>
      <c r="N143" s="3" t="n"/>
      <c r="O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>
        <f>IF(B144="","",J144*2+MIN(F144,5)+IF(C144="主线",3,IF(C144="轮动",1,0)))</f>
        <v/>
      </c>
      <c r="L144" s="3" t="n"/>
      <c r="M144" s="3" t="n"/>
      <c r="N144" s="3" t="n"/>
      <c r="O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>
        <f>IF(B145="","",J145*2+MIN(F145,5)+IF(C145="主线",3,IF(C145="轮动",1,0)))</f>
        <v/>
      </c>
      <c r="L145" s="3" t="n"/>
      <c r="M145" s="3" t="n"/>
      <c r="N145" s="3" t="n"/>
      <c r="O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>
        <f>IF(B146="","",J146*2+MIN(F146,5)+IF(C146="主线",3,IF(C146="轮动",1,0)))</f>
        <v/>
      </c>
      <c r="L146" s="3" t="n"/>
      <c r="M146" s="3" t="n"/>
      <c r="N146" s="3" t="n"/>
      <c r="O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>
        <f>IF(B147="","",J147*2+MIN(F147,5)+IF(C147="主线",3,IF(C147="轮动",1,0)))</f>
        <v/>
      </c>
      <c r="L147" s="3" t="n"/>
      <c r="M147" s="3" t="n"/>
      <c r="N147" s="3" t="n"/>
      <c r="O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>
        <f>IF(B148="","",J148*2+MIN(F148,5)+IF(C148="主线",3,IF(C148="轮动",1,0)))</f>
        <v/>
      </c>
      <c r="L148" s="3" t="n"/>
      <c r="M148" s="3" t="n"/>
      <c r="N148" s="3" t="n"/>
      <c r="O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>
        <f>IF(B149="","",J149*2+MIN(F149,5)+IF(C149="主线",3,IF(C149="轮动",1,0)))</f>
        <v/>
      </c>
      <c r="L149" s="3" t="n"/>
      <c r="M149" s="3" t="n"/>
      <c r="N149" s="3" t="n"/>
      <c r="O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>
        <f>IF(B150="","",J150*2+MIN(F150,5)+IF(C150="主线",3,IF(C150="轮动",1,0)))</f>
        <v/>
      </c>
      <c r="L150" s="3" t="n"/>
      <c r="M150" s="3" t="n"/>
      <c r="N150" s="3" t="n"/>
      <c r="O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>
        <f>IF(B151="","",J151*2+MIN(F151,5)+IF(C151="主线",3,IF(C151="轮动",1,0)))</f>
        <v/>
      </c>
      <c r="L151" s="3" t="n"/>
      <c r="M151" s="3" t="n"/>
      <c r="N151" s="3" t="n"/>
      <c r="O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>
        <f>IF(B152="","",J152*2+MIN(F152,5)+IF(C152="主线",3,IF(C152="轮动",1,0)))</f>
        <v/>
      </c>
      <c r="L152" s="3" t="n"/>
      <c r="M152" s="3" t="n"/>
      <c r="N152" s="3" t="n"/>
      <c r="O152" s="3" t="n"/>
    </row>
  </sheetData>
  <autoFilter ref="A1:O152"/>
  <mergeCells count="1">
    <mergeCell ref="A1:O1"/>
  </mergeCells>
  <dataValidations count="3">
    <dataValidation sqref="C3:C152" showDropDown="0" showInputMessage="0" showErrorMessage="0" allowBlank="1" type="list">
      <formula1>"主线,轮动,消息刺激,防守避险,退潮"</formula1>
    </dataValidation>
    <dataValidation sqref="J3:J152" showDropDown="0" showInputMessage="0" showErrorMessage="0" allowBlank="1" type="list">
      <formula1>"1,2,3,4,5"</formula1>
    </dataValidation>
    <dataValidation sqref="L3:L152" showDropDown="0" showInputMessage="0" showErrorMessage="0" allowBlank="1" type="list">
      <formula1>"重点跟踪,低吸观察,只看不追,回避"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2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4" customWidth="1" min="8" max="8"/>
    <col width="11" customWidth="1" min="9" max="9"/>
    <col width="11" customWidth="1" min="10" max="10"/>
    <col width="24" customWidth="1" min="11" max="11"/>
    <col width="24" customWidth="1" min="12" max="12"/>
    <col width="14" customWidth="1" min="13" max="13"/>
    <col width="20" customWidth="1" min="14" max="14"/>
    <col width="12" customWidth="1" min="15" max="15"/>
    <col width="20" customWidth="1" min="16" max="16"/>
  </cols>
  <sheetData>
    <row r="1" ht="26" customHeight="1">
      <c r="A1" s="1" t="inlineStr">
        <is>
          <t>核心个股观察池</t>
        </is>
      </c>
    </row>
    <row r="2" ht="28" customHeight="1">
      <c r="A2" s="6" t="inlineStr">
        <is>
          <t>日期</t>
        </is>
      </c>
      <c r="B2" s="6" t="inlineStr">
        <is>
          <t>代码</t>
        </is>
      </c>
      <c r="C2" s="6" t="inlineStr">
        <is>
          <t>名称</t>
        </is>
      </c>
      <c r="D2" s="6" t="inlineStr">
        <is>
          <t>所属板块</t>
        </is>
      </c>
      <c r="E2" s="6" t="inlineStr">
        <is>
          <t>角色</t>
        </is>
      </c>
      <c r="F2" s="6" t="inlineStr">
        <is>
          <t>收盘表现</t>
        </is>
      </c>
      <c r="G2" s="6" t="inlineStr">
        <is>
          <t>量能</t>
        </is>
      </c>
      <c r="H2" s="6" t="inlineStr">
        <is>
          <t>位置</t>
        </is>
      </c>
      <c r="I2" s="6" t="inlineStr">
        <is>
          <t>换手率%</t>
        </is>
      </c>
      <c r="J2" s="6" t="inlineStr">
        <is>
          <t>是否涨停</t>
        </is>
      </c>
      <c r="K2" s="6" t="inlineStr">
        <is>
          <t>买入触发</t>
        </is>
      </c>
      <c r="L2" s="6" t="inlineStr">
        <is>
          <t>失效条件</t>
        </is>
      </c>
      <c r="M2" s="6" t="inlineStr">
        <is>
          <t>预期空间</t>
        </is>
      </c>
      <c r="N2" s="6" t="inlineStr">
        <is>
          <t>跟踪结论</t>
        </is>
      </c>
      <c r="O2" s="6" t="inlineStr">
        <is>
          <t>次日动作</t>
        </is>
      </c>
      <c r="P2" s="6" t="inlineStr">
        <is>
          <t>备注</t>
        </is>
      </c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2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2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2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A67" s="2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2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A70" s="2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2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2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</row>
    <row r="73">
      <c r="A73" s="2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2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</row>
    <row r="75">
      <c r="A75" s="2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>
      <c r="A76" s="2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</row>
    <row r="77">
      <c r="A77" s="2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</row>
    <row r="103">
      <c r="A103" s="2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</row>
    <row r="104">
      <c r="A104" s="2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</row>
    <row r="105">
      <c r="A105" s="2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</row>
    <row r="106">
      <c r="A106" s="2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</row>
    <row r="107">
      <c r="A107" s="2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</row>
    <row r="108">
      <c r="A108" s="2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</row>
    <row r="109">
      <c r="A109" s="2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</row>
    <row r="110">
      <c r="A110" s="2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</row>
    <row r="111">
      <c r="A111" s="2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</row>
    <row r="112">
      <c r="A112" s="2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</row>
    <row r="113">
      <c r="A113" s="2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</row>
    <row r="114">
      <c r="A114" s="2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</row>
    <row r="115">
      <c r="A115" s="2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</row>
    <row r="116">
      <c r="A116" s="2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</row>
    <row r="117">
      <c r="A117" s="2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</row>
    <row r="118">
      <c r="A118" s="2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</row>
    <row r="119">
      <c r="A119" s="2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</row>
    <row r="120">
      <c r="A120" s="2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</row>
    <row r="121">
      <c r="A121" s="2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</row>
    <row r="122">
      <c r="A122" s="2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</row>
    <row r="123">
      <c r="A123" s="2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</row>
    <row r="124">
      <c r="A124" s="2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</row>
    <row r="125">
      <c r="A125" s="2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</row>
    <row r="126">
      <c r="A126" s="2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</row>
    <row r="127">
      <c r="A127" s="2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</row>
    <row r="128">
      <c r="A128" s="2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</row>
    <row r="129">
      <c r="A129" s="2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</row>
    <row r="130">
      <c r="A130" s="2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</row>
    <row r="131">
      <c r="A131" s="2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</row>
    <row r="132">
      <c r="A132" s="2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</row>
    <row r="133">
      <c r="A133" s="2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</row>
    <row r="134">
      <c r="A134" s="2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</row>
    <row r="135">
      <c r="A135" s="2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</row>
    <row r="136">
      <c r="A136" s="2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</row>
    <row r="137">
      <c r="A137" s="2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</row>
    <row r="138">
      <c r="A138" s="2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</row>
    <row r="139">
      <c r="A139" s="2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</row>
    <row r="140">
      <c r="A140" s="2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</row>
    <row r="141">
      <c r="A141" s="2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</row>
    <row r="142">
      <c r="A142" s="2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</row>
    <row r="143">
      <c r="A143" s="2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</row>
    <row r="144">
      <c r="A144" s="2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</row>
    <row r="145">
      <c r="A145" s="2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</row>
    <row r="146">
      <c r="A146" s="2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</row>
    <row r="147">
      <c r="A147" s="2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</row>
    <row r="148">
      <c r="A148" s="2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</row>
    <row r="149">
      <c r="A149" s="2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</row>
    <row r="150">
      <c r="A150" s="2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</row>
    <row r="151">
      <c r="A151" s="2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</row>
    <row r="152">
      <c r="A152" s="2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</row>
  </sheetData>
  <autoFilter ref="A1:P152"/>
  <mergeCells count="1">
    <mergeCell ref="A1:P1"/>
  </mergeCells>
  <dataValidations count="5">
    <dataValidation sqref="E3:E152" showDropDown="0" showInputMessage="0" showErrorMessage="0" allowBlank="1" type="list">
      <formula1>"龙头,中军,补涨,趋势核心,套利,风险观察"</formula1>
    </dataValidation>
    <dataValidation sqref="G3:G152" showDropDown="0" showInputMessage="0" showErrorMessage="0" allowBlank="1" type="list">
      <formula1>"放量,缩量,温和放量,巨量分歧,量能不足"</formula1>
    </dataValidation>
    <dataValidation sqref="H3:H152" showDropDown="0" showInputMessage="0" showErrorMessage="0" allowBlank="1" type="list">
      <formula1>"低位启动,突破位,趋势中继,高位加速,高位分歧,破位"</formula1>
    </dataValidation>
    <dataValidation sqref="J3:J152" showDropDown="0" showInputMessage="0" showErrorMessage="0" allowBlank="1" type="list">
      <formula1>"是,否"</formula1>
    </dataValidation>
    <dataValidation sqref="O3:O152" showDropDown="0" showInputMessage="0" showErrorMessage="0" allowBlank="1" type="list">
      <formula1>"买入观察,持有观察,减仓观察,放弃,等待确认"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2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2" customWidth="1" min="10" max="10"/>
    <col width="24" customWidth="1" min="11" max="11"/>
    <col width="16" customWidth="1" min="12" max="12"/>
    <col width="22" customWidth="1" min="13" max="13"/>
    <col width="12" customWidth="1" min="14" max="14"/>
    <col width="14" customWidth="1" min="15" max="15"/>
    <col width="18" customWidth="1" min="16" max="16"/>
  </cols>
  <sheetData>
    <row r="1" ht="26" customHeight="1">
      <c r="A1" s="1" t="inlineStr">
        <is>
          <t>持仓与交易计划</t>
        </is>
      </c>
    </row>
    <row r="2" ht="28" customHeight="1">
      <c r="A2" s="6" t="inlineStr">
        <is>
          <t>日期</t>
        </is>
      </c>
      <c r="B2" s="6" t="inlineStr">
        <is>
          <t>代码</t>
        </is>
      </c>
      <c r="C2" s="6" t="inlineStr">
        <is>
          <t>名称</t>
        </is>
      </c>
      <c r="D2" s="6" t="inlineStr">
        <is>
          <t>方向</t>
        </is>
      </c>
      <c r="E2" s="6" t="inlineStr">
        <is>
          <t>仓位%</t>
        </is>
      </c>
      <c r="F2" s="6" t="inlineStr">
        <is>
          <t>成本价</t>
        </is>
      </c>
      <c r="G2" s="6" t="inlineStr">
        <is>
          <t>现价</t>
        </is>
      </c>
      <c r="H2" s="6" t="inlineStr">
        <is>
          <t>浮盈亏%</t>
        </is>
      </c>
      <c r="I2" s="6" t="inlineStr">
        <is>
          <t>止损价</t>
        </is>
      </c>
      <c r="J2" s="6" t="inlineStr">
        <is>
          <t>止盈/目标价</t>
        </is>
      </c>
      <c r="K2" s="6" t="inlineStr">
        <is>
          <t>买入理由</t>
        </is>
      </c>
      <c r="L2" s="6" t="inlineStr">
        <is>
          <t>今日处理</t>
        </is>
      </c>
      <c r="M2" s="6" t="inlineStr">
        <is>
          <t>明日计划</t>
        </is>
      </c>
      <c r="N2" s="6" t="inlineStr">
        <is>
          <t>是否执行</t>
        </is>
      </c>
      <c r="O2" s="6" t="inlineStr">
        <is>
          <t>复盘评分(1-5)</t>
        </is>
      </c>
      <c r="P2" s="6" t="inlineStr">
        <is>
          <t>备注</t>
        </is>
      </c>
    </row>
    <row r="3">
      <c r="A3" s="2" t="n"/>
      <c r="B3" s="3" t="n"/>
      <c r="C3" s="3" t="n"/>
      <c r="D3" s="3" t="n"/>
      <c r="E3" s="3" t="n"/>
      <c r="F3" s="3" t="n"/>
      <c r="G3" s="3" t="n"/>
      <c r="H3" s="3">
        <f>IF(OR(F3="",G3=""),"",G3/F3-1)</f>
        <v/>
      </c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2" t="n"/>
      <c r="B4" s="3" t="n"/>
      <c r="C4" s="3" t="n"/>
      <c r="D4" s="3" t="n"/>
      <c r="E4" s="3" t="n"/>
      <c r="F4" s="3" t="n"/>
      <c r="G4" s="3" t="n"/>
      <c r="H4" s="3">
        <f>IF(OR(F4="",G4=""),"",G4/F4-1)</f>
        <v/>
      </c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2" t="n"/>
      <c r="B5" s="3" t="n"/>
      <c r="C5" s="3" t="n"/>
      <c r="D5" s="3" t="n"/>
      <c r="E5" s="3" t="n"/>
      <c r="F5" s="3" t="n"/>
      <c r="G5" s="3" t="n"/>
      <c r="H5" s="3">
        <f>IF(OR(F5="",G5=""),"",G5/F5-1)</f>
        <v/>
      </c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2" t="n"/>
      <c r="B6" s="3" t="n"/>
      <c r="C6" s="3" t="n"/>
      <c r="D6" s="3" t="n"/>
      <c r="E6" s="3" t="n"/>
      <c r="F6" s="3" t="n"/>
      <c r="G6" s="3" t="n"/>
      <c r="H6" s="3">
        <f>IF(OR(F6="",G6=""),"",G6/F6-1)</f>
        <v/>
      </c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2" t="n"/>
      <c r="B7" s="3" t="n"/>
      <c r="C7" s="3" t="n"/>
      <c r="D7" s="3" t="n"/>
      <c r="E7" s="3" t="n"/>
      <c r="F7" s="3" t="n"/>
      <c r="G7" s="3" t="n"/>
      <c r="H7" s="3">
        <f>IF(OR(F7="",G7=""),"",G7/F7-1)</f>
        <v/>
      </c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2" t="n"/>
      <c r="B8" s="3" t="n"/>
      <c r="C8" s="3" t="n"/>
      <c r="D8" s="3" t="n"/>
      <c r="E8" s="3" t="n"/>
      <c r="F8" s="3" t="n"/>
      <c r="G8" s="3" t="n"/>
      <c r="H8" s="3">
        <f>IF(OR(F8="",G8=""),"",G8/F8-1)</f>
        <v/>
      </c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2" t="n"/>
      <c r="B9" s="3" t="n"/>
      <c r="C9" s="3" t="n"/>
      <c r="D9" s="3" t="n"/>
      <c r="E9" s="3" t="n"/>
      <c r="F9" s="3" t="n"/>
      <c r="G9" s="3" t="n"/>
      <c r="H9" s="3">
        <f>IF(OR(F9="",G9=""),"",G9/F9-1)</f>
        <v/>
      </c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>
        <f>IF(OR(F10="",G10=""),"",G10/F10-1)</f>
        <v/>
      </c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>
        <f>IF(OR(F11="",G11=""),"",G11/F11-1)</f>
        <v/>
      </c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>
        <f>IF(OR(F12="",G12=""),"",G12/F12-1)</f>
        <v/>
      </c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>
        <f>IF(OR(F13="",G13=""),"",G13/F13-1)</f>
        <v/>
      </c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2" t="n"/>
      <c r="B14" s="3" t="n"/>
      <c r="C14" s="3" t="n"/>
      <c r="D14" s="3" t="n"/>
      <c r="E14" s="3" t="n"/>
      <c r="F14" s="3" t="n"/>
      <c r="G14" s="3" t="n"/>
      <c r="H14" s="3">
        <f>IF(OR(F14="",G14=""),"",G14/F14-1)</f>
        <v/>
      </c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2" t="n"/>
      <c r="B15" s="3" t="n"/>
      <c r="C15" s="3" t="n"/>
      <c r="D15" s="3" t="n"/>
      <c r="E15" s="3" t="n"/>
      <c r="F15" s="3" t="n"/>
      <c r="G15" s="3" t="n"/>
      <c r="H15" s="3">
        <f>IF(OR(F15="",G15=""),"",G15/F15-1)</f>
        <v/>
      </c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2" t="n"/>
      <c r="B16" s="3" t="n"/>
      <c r="C16" s="3" t="n"/>
      <c r="D16" s="3" t="n"/>
      <c r="E16" s="3" t="n"/>
      <c r="F16" s="3" t="n"/>
      <c r="G16" s="3" t="n"/>
      <c r="H16" s="3">
        <f>IF(OR(F16="",G16=""),"",G16/F16-1)</f>
        <v/>
      </c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2" t="n"/>
      <c r="B17" s="3" t="n"/>
      <c r="C17" s="3" t="n"/>
      <c r="D17" s="3" t="n"/>
      <c r="E17" s="3" t="n"/>
      <c r="F17" s="3" t="n"/>
      <c r="G17" s="3" t="n"/>
      <c r="H17" s="3">
        <f>IF(OR(F17="",G17=""),"",G17/F17-1)</f>
        <v/>
      </c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>
        <f>IF(OR(F18="",G18=""),"",G18/F18-1)</f>
        <v/>
      </c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2" t="n"/>
      <c r="B19" s="3" t="n"/>
      <c r="C19" s="3" t="n"/>
      <c r="D19" s="3" t="n"/>
      <c r="E19" s="3" t="n"/>
      <c r="F19" s="3" t="n"/>
      <c r="G19" s="3" t="n"/>
      <c r="H19" s="3">
        <f>IF(OR(F19="",G19=""),"",G19/F19-1)</f>
        <v/>
      </c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2" t="n"/>
      <c r="B20" s="3" t="n"/>
      <c r="C20" s="3" t="n"/>
      <c r="D20" s="3" t="n"/>
      <c r="E20" s="3" t="n"/>
      <c r="F20" s="3" t="n"/>
      <c r="G20" s="3" t="n"/>
      <c r="H20" s="3">
        <f>IF(OR(F20="",G20=""),"",G20/F20-1)</f>
        <v/>
      </c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2" t="n"/>
      <c r="B21" s="3" t="n"/>
      <c r="C21" s="3" t="n"/>
      <c r="D21" s="3" t="n"/>
      <c r="E21" s="3" t="n"/>
      <c r="F21" s="3" t="n"/>
      <c r="G21" s="3" t="n"/>
      <c r="H21" s="3">
        <f>IF(OR(F21="",G21=""),"",G21/F21-1)</f>
        <v/>
      </c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2" t="n"/>
      <c r="B22" s="3" t="n"/>
      <c r="C22" s="3" t="n"/>
      <c r="D22" s="3" t="n"/>
      <c r="E22" s="3" t="n"/>
      <c r="F22" s="3" t="n"/>
      <c r="G22" s="3" t="n"/>
      <c r="H22" s="3">
        <f>IF(OR(F22="",G22=""),"",G22/F22-1)</f>
        <v/>
      </c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2" t="n"/>
      <c r="B23" s="3" t="n"/>
      <c r="C23" s="3" t="n"/>
      <c r="D23" s="3" t="n"/>
      <c r="E23" s="3" t="n"/>
      <c r="F23" s="3" t="n"/>
      <c r="G23" s="3" t="n"/>
      <c r="H23" s="3">
        <f>IF(OR(F23="",G23=""),"",G23/F23-1)</f>
        <v/>
      </c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2" t="n"/>
      <c r="B24" s="3" t="n"/>
      <c r="C24" s="3" t="n"/>
      <c r="D24" s="3" t="n"/>
      <c r="E24" s="3" t="n"/>
      <c r="F24" s="3" t="n"/>
      <c r="G24" s="3" t="n"/>
      <c r="H24" s="3">
        <f>IF(OR(F24="",G24=""),"",G24/F24-1)</f>
        <v/>
      </c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2" t="n"/>
      <c r="B25" s="3" t="n"/>
      <c r="C25" s="3" t="n"/>
      <c r="D25" s="3" t="n"/>
      <c r="E25" s="3" t="n"/>
      <c r="F25" s="3" t="n"/>
      <c r="G25" s="3" t="n"/>
      <c r="H25" s="3">
        <f>IF(OR(F25="",G25=""),"",G25/F25-1)</f>
        <v/>
      </c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2" t="n"/>
      <c r="B26" s="3" t="n"/>
      <c r="C26" s="3" t="n"/>
      <c r="D26" s="3" t="n"/>
      <c r="E26" s="3" t="n"/>
      <c r="F26" s="3" t="n"/>
      <c r="G26" s="3" t="n"/>
      <c r="H26" s="3">
        <f>IF(OR(F26="",G26=""),"",G26/F26-1)</f>
        <v/>
      </c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>
        <f>IF(OR(F27="",G27=""),"",G27/F27-1)</f>
        <v/>
      </c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>
        <f>IF(OR(F28="",G28=""),"",G28/F28-1)</f>
        <v/>
      </c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>
        <f>IF(OR(F29="",G29=""),"",G29/F29-1)</f>
        <v/>
      </c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>
        <f>IF(OR(F30="",G30=""),"",G30/F30-1)</f>
        <v/>
      </c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>
        <f>IF(OR(F31="",G31=""),"",G31/F31-1)</f>
        <v/>
      </c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>
        <f>IF(OR(F32="",G32=""),"",G32/F32-1)</f>
        <v/>
      </c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>
        <f>IF(OR(F33="",G33=""),"",G33/F33-1)</f>
        <v/>
      </c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>
        <f>IF(OR(F34="",G34=""),"",G34/F34-1)</f>
        <v/>
      </c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>
        <f>IF(OR(F35="",G35=""),"",G35/F35-1)</f>
        <v/>
      </c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>
        <f>IF(OR(F36="",G36=""),"",G36/F36-1)</f>
        <v/>
      </c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>
        <f>IF(OR(F37="",G37=""),"",G37/F37-1)</f>
        <v/>
      </c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>
        <f>IF(OR(F38="",G38=""),"",G38/F38-1)</f>
        <v/>
      </c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>
        <f>IF(OR(F39="",G39=""),"",G39/F39-1)</f>
        <v/>
      </c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>
        <f>IF(OR(F40="",G40=""),"",G40/F40-1)</f>
        <v/>
      </c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>
        <f>IF(OR(F41="",G41=""),"",G41/F41-1)</f>
        <v/>
      </c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>
        <f>IF(OR(F42="",G42=""),"",G42/F42-1)</f>
        <v/>
      </c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>
        <f>IF(OR(F43="",G43=""),"",G43/F43-1)</f>
        <v/>
      </c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>
        <f>IF(OR(F44="",G44=""),"",G44/F44-1)</f>
        <v/>
      </c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>
        <f>IF(OR(F45="",G45=""),"",G45/F45-1)</f>
        <v/>
      </c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>
        <f>IF(OR(F46="",G46=""),"",G46/F46-1)</f>
        <v/>
      </c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>
        <f>IF(OR(F47="",G47=""),"",G47/F47-1)</f>
        <v/>
      </c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>
        <f>IF(OR(F48="",G48=""),"",G48/F48-1)</f>
        <v/>
      </c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>
        <f>IF(OR(F49="",G49=""),"",G49/F49-1)</f>
        <v/>
      </c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>
        <f>IF(OR(F50="",G50=""),"",G50/F50-1)</f>
        <v/>
      </c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>
        <f>IF(OR(F51="",G51=""),"",G51/F51-1)</f>
        <v/>
      </c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>
        <f>IF(OR(F52="",G52=""),"",G52/F52-1)</f>
        <v/>
      </c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>
        <f>IF(OR(F53="",G53=""),"",G53/F53-1)</f>
        <v/>
      </c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>
        <f>IF(OR(F54="",G54=""),"",G54/F54-1)</f>
        <v/>
      </c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>
        <f>IF(OR(F55="",G55=""),"",G55/F55-1)</f>
        <v/>
      </c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>
        <f>IF(OR(F56="",G56=""),"",G56/F56-1)</f>
        <v/>
      </c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>
        <f>IF(OR(F57="",G57=""),"",G57/F57-1)</f>
        <v/>
      </c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>
        <f>IF(OR(F58="",G58=""),"",G58/F58-1)</f>
        <v/>
      </c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>
        <f>IF(OR(F59="",G59=""),"",G59/F59-1)</f>
        <v/>
      </c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>
        <f>IF(OR(F60="",G60=""),"",G60/F60-1)</f>
        <v/>
      </c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>
        <f>IF(OR(F61="",G61=""),"",G61/F61-1)</f>
        <v/>
      </c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2" t="n"/>
      <c r="B62" s="3" t="n"/>
      <c r="C62" s="3" t="n"/>
      <c r="D62" s="3" t="n"/>
      <c r="E62" s="3" t="n"/>
      <c r="F62" s="3" t="n"/>
      <c r="G62" s="3" t="n"/>
      <c r="H62" s="3">
        <f>IF(OR(F62="",G62=""),"",G62/F62-1)</f>
        <v/>
      </c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2" t="n"/>
      <c r="B63" s="3" t="n"/>
      <c r="C63" s="3" t="n"/>
      <c r="D63" s="3" t="n"/>
      <c r="E63" s="3" t="n"/>
      <c r="F63" s="3" t="n"/>
      <c r="G63" s="3" t="n"/>
      <c r="H63" s="3">
        <f>IF(OR(F63="",G63=""),"",G63/F63-1)</f>
        <v/>
      </c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2" t="n"/>
      <c r="B64" s="3" t="n"/>
      <c r="C64" s="3" t="n"/>
      <c r="D64" s="3" t="n"/>
      <c r="E64" s="3" t="n"/>
      <c r="F64" s="3" t="n"/>
      <c r="G64" s="3" t="n"/>
      <c r="H64" s="3">
        <f>IF(OR(F64="",G64=""),"",G64/F64-1)</f>
        <v/>
      </c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A65" s="2" t="n"/>
      <c r="B65" s="3" t="n"/>
      <c r="C65" s="3" t="n"/>
      <c r="D65" s="3" t="n"/>
      <c r="E65" s="3" t="n"/>
      <c r="F65" s="3" t="n"/>
      <c r="G65" s="3" t="n"/>
      <c r="H65" s="3">
        <f>IF(OR(F65="",G65=""),"",G65/F65-1)</f>
        <v/>
      </c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2" t="n"/>
      <c r="B66" s="3" t="n"/>
      <c r="C66" s="3" t="n"/>
      <c r="D66" s="3" t="n"/>
      <c r="E66" s="3" t="n"/>
      <c r="F66" s="3" t="n"/>
      <c r="G66" s="3" t="n"/>
      <c r="H66" s="3">
        <f>IF(OR(F66="",G66=""),"",G66/F66-1)</f>
        <v/>
      </c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A67" s="2" t="n"/>
      <c r="B67" s="3" t="n"/>
      <c r="C67" s="3" t="n"/>
      <c r="D67" s="3" t="n"/>
      <c r="E67" s="3" t="n"/>
      <c r="F67" s="3" t="n"/>
      <c r="G67" s="3" t="n"/>
      <c r="H67" s="3">
        <f>IF(OR(F67="",G67=""),"",G67/F67-1)</f>
        <v/>
      </c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2" t="n"/>
      <c r="B68" s="3" t="n"/>
      <c r="C68" s="3" t="n"/>
      <c r="D68" s="3" t="n"/>
      <c r="E68" s="3" t="n"/>
      <c r="F68" s="3" t="n"/>
      <c r="G68" s="3" t="n"/>
      <c r="H68" s="3">
        <f>IF(OR(F68="",G68=""),"",G68/F68-1)</f>
        <v/>
      </c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2" t="n"/>
      <c r="B69" s="3" t="n"/>
      <c r="C69" s="3" t="n"/>
      <c r="D69" s="3" t="n"/>
      <c r="E69" s="3" t="n"/>
      <c r="F69" s="3" t="n"/>
      <c r="G69" s="3" t="n"/>
      <c r="H69" s="3">
        <f>IF(OR(F69="",G69=""),"",G69/F69-1)</f>
        <v/>
      </c>
      <c r="I69" s="3" t="n"/>
      <c r="J69" s="3" t="n"/>
      <c r="K69" s="3" t="n"/>
      <c r="L69" s="3" t="n"/>
      <c r="M69" s="3" t="n"/>
      <c r="N69" s="3" t="n"/>
      <c r="O69" s="3" t="n"/>
      <c r="P69" s="3" t="n"/>
    </row>
    <row r="70">
      <c r="A70" s="2" t="n"/>
      <c r="B70" s="3" t="n"/>
      <c r="C70" s="3" t="n"/>
      <c r="D70" s="3" t="n"/>
      <c r="E70" s="3" t="n"/>
      <c r="F70" s="3" t="n"/>
      <c r="G70" s="3" t="n"/>
      <c r="H70" s="3">
        <f>IF(OR(F70="",G70=""),"",G70/F70-1)</f>
        <v/>
      </c>
      <c r="I70" s="3" t="n"/>
      <c r="J70" s="3" t="n"/>
      <c r="K70" s="3" t="n"/>
      <c r="L70" s="3" t="n"/>
      <c r="M70" s="3" t="n"/>
      <c r="N70" s="3" t="n"/>
      <c r="O70" s="3" t="n"/>
      <c r="P70" s="3" t="n"/>
    </row>
    <row r="71">
      <c r="A71" s="2" t="n"/>
      <c r="B71" s="3" t="n"/>
      <c r="C71" s="3" t="n"/>
      <c r="D71" s="3" t="n"/>
      <c r="E71" s="3" t="n"/>
      <c r="F71" s="3" t="n"/>
      <c r="G71" s="3" t="n"/>
      <c r="H71" s="3">
        <f>IF(OR(F71="",G71=""),"",G71/F71-1)</f>
        <v/>
      </c>
      <c r="I71" s="3" t="n"/>
      <c r="J71" s="3" t="n"/>
      <c r="K71" s="3" t="n"/>
      <c r="L71" s="3" t="n"/>
      <c r="M71" s="3" t="n"/>
      <c r="N71" s="3" t="n"/>
      <c r="O71" s="3" t="n"/>
      <c r="P71" s="3" t="n"/>
    </row>
    <row r="72">
      <c r="A72" s="2" t="n"/>
      <c r="B72" s="3" t="n"/>
      <c r="C72" s="3" t="n"/>
      <c r="D72" s="3" t="n"/>
      <c r="E72" s="3" t="n"/>
      <c r="F72" s="3" t="n"/>
      <c r="G72" s="3" t="n"/>
      <c r="H72" s="3">
        <f>IF(OR(F72="",G72=""),"",G72/F72-1)</f>
        <v/>
      </c>
      <c r="I72" s="3" t="n"/>
      <c r="J72" s="3" t="n"/>
      <c r="K72" s="3" t="n"/>
      <c r="L72" s="3" t="n"/>
      <c r="M72" s="3" t="n"/>
      <c r="N72" s="3" t="n"/>
      <c r="O72" s="3" t="n"/>
      <c r="P72" s="3" t="n"/>
    </row>
    <row r="73">
      <c r="A73" s="2" t="n"/>
      <c r="B73" s="3" t="n"/>
      <c r="C73" s="3" t="n"/>
      <c r="D73" s="3" t="n"/>
      <c r="E73" s="3" t="n"/>
      <c r="F73" s="3" t="n"/>
      <c r="G73" s="3" t="n"/>
      <c r="H73" s="3">
        <f>IF(OR(F73="",G73=""),"",G73/F73-1)</f>
        <v/>
      </c>
      <c r="I73" s="3" t="n"/>
      <c r="J73" s="3" t="n"/>
      <c r="K73" s="3" t="n"/>
      <c r="L73" s="3" t="n"/>
      <c r="M73" s="3" t="n"/>
      <c r="N73" s="3" t="n"/>
      <c r="O73" s="3" t="n"/>
      <c r="P73" s="3" t="n"/>
    </row>
    <row r="74">
      <c r="A74" s="2" t="n"/>
      <c r="B74" s="3" t="n"/>
      <c r="C74" s="3" t="n"/>
      <c r="D74" s="3" t="n"/>
      <c r="E74" s="3" t="n"/>
      <c r="F74" s="3" t="n"/>
      <c r="G74" s="3" t="n"/>
      <c r="H74" s="3">
        <f>IF(OR(F74="",G74=""),"",G74/F74-1)</f>
        <v/>
      </c>
      <c r="I74" s="3" t="n"/>
      <c r="J74" s="3" t="n"/>
      <c r="K74" s="3" t="n"/>
      <c r="L74" s="3" t="n"/>
      <c r="M74" s="3" t="n"/>
      <c r="N74" s="3" t="n"/>
      <c r="O74" s="3" t="n"/>
      <c r="P74" s="3" t="n"/>
    </row>
    <row r="75">
      <c r="A75" s="2" t="n"/>
      <c r="B75" s="3" t="n"/>
      <c r="C75" s="3" t="n"/>
      <c r="D75" s="3" t="n"/>
      <c r="E75" s="3" t="n"/>
      <c r="F75" s="3" t="n"/>
      <c r="G75" s="3" t="n"/>
      <c r="H75" s="3">
        <f>IF(OR(F75="",G75=""),"",G75/F75-1)</f>
        <v/>
      </c>
      <c r="I75" s="3" t="n"/>
      <c r="J75" s="3" t="n"/>
      <c r="K75" s="3" t="n"/>
      <c r="L75" s="3" t="n"/>
      <c r="M75" s="3" t="n"/>
      <c r="N75" s="3" t="n"/>
      <c r="O75" s="3" t="n"/>
      <c r="P75" s="3" t="n"/>
    </row>
    <row r="76">
      <c r="A76" s="2" t="n"/>
      <c r="B76" s="3" t="n"/>
      <c r="C76" s="3" t="n"/>
      <c r="D76" s="3" t="n"/>
      <c r="E76" s="3" t="n"/>
      <c r="F76" s="3" t="n"/>
      <c r="G76" s="3" t="n"/>
      <c r="H76" s="3">
        <f>IF(OR(F76="",G76=""),"",G76/F76-1)</f>
        <v/>
      </c>
      <c r="I76" s="3" t="n"/>
      <c r="J76" s="3" t="n"/>
      <c r="K76" s="3" t="n"/>
      <c r="L76" s="3" t="n"/>
      <c r="M76" s="3" t="n"/>
      <c r="N76" s="3" t="n"/>
      <c r="O76" s="3" t="n"/>
      <c r="P76" s="3" t="n"/>
    </row>
    <row r="77">
      <c r="A77" s="2" t="n"/>
      <c r="B77" s="3" t="n"/>
      <c r="C77" s="3" t="n"/>
      <c r="D77" s="3" t="n"/>
      <c r="E77" s="3" t="n"/>
      <c r="F77" s="3" t="n"/>
      <c r="G77" s="3" t="n"/>
      <c r="H77" s="3">
        <f>IF(OR(F77="",G77=""),"",G77/F77-1)</f>
        <v/>
      </c>
      <c r="I77" s="3" t="n"/>
      <c r="J77" s="3" t="n"/>
      <c r="K77" s="3" t="n"/>
      <c r="L77" s="3" t="n"/>
      <c r="M77" s="3" t="n"/>
      <c r="N77" s="3" t="n"/>
      <c r="O77" s="3" t="n"/>
      <c r="P77" s="3" t="n"/>
    </row>
    <row r="78">
      <c r="A78" s="2" t="n"/>
      <c r="B78" s="3" t="n"/>
      <c r="C78" s="3" t="n"/>
      <c r="D78" s="3" t="n"/>
      <c r="E78" s="3" t="n"/>
      <c r="F78" s="3" t="n"/>
      <c r="G78" s="3" t="n"/>
      <c r="H78" s="3">
        <f>IF(OR(F78="",G78=""),"",G78/F78-1)</f>
        <v/>
      </c>
      <c r="I78" s="3" t="n"/>
      <c r="J78" s="3" t="n"/>
      <c r="K78" s="3" t="n"/>
      <c r="L78" s="3" t="n"/>
      <c r="M78" s="3" t="n"/>
      <c r="N78" s="3" t="n"/>
      <c r="O78" s="3" t="n"/>
      <c r="P78" s="3" t="n"/>
    </row>
    <row r="79">
      <c r="A79" s="2" t="n"/>
      <c r="B79" s="3" t="n"/>
      <c r="C79" s="3" t="n"/>
      <c r="D79" s="3" t="n"/>
      <c r="E79" s="3" t="n"/>
      <c r="F79" s="3" t="n"/>
      <c r="G79" s="3" t="n"/>
      <c r="H79" s="3">
        <f>IF(OR(F79="",G79=""),"",G79/F79-1)</f>
        <v/>
      </c>
      <c r="I79" s="3" t="n"/>
      <c r="J79" s="3" t="n"/>
      <c r="K79" s="3" t="n"/>
      <c r="L79" s="3" t="n"/>
      <c r="M79" s="3" t="n"/>
      <c r="N79" s="3" t="n"/>
      <c r="O79" s="3" t="n"/>
      <c r="P79" s="3" t="n"/>
    </row>
    <row r="80">
      <c r="A80" s="2" t="n"/>
      <c r="B80" s="3" t="n"/>
      <c r="C80" s="3" t="n"/>
      <c r="D80" s="3" t="n"/>
      <c r="E80" s="3" t="n"/>
      <c r="F80" s="3" t="n"/>
      <c r="G80" s="3" t="n"/>
      <c r="H80" s="3">
        <f>IF(OR(F80="",G80=""),"",G80/F80-1)</f>
        <v/>
      </c>
      <c r="I80" s="3" t="n"/>
      <c r="J80" s="3" t="n"/>
      <c r="K80" s="3" t="n"/>
      <c r="L80" s="3" t="n"/>
      <c r="M80" s="3" t="n"/>
      <c r="N80" s="3" t="n"/>
      <c r="O80" s="3" t="n"/>
      <c r="P80" s="3" t="n"/>
    </row>
    <row r="81">
      <c r="A81" s="2" t="n"/>
      <c r="B81" s="3" t="n"/>
      <c r="C81" s="3" t="n"/>
      <c r="D81" s="3" t="n"/>
      <c r="E81" s="3" t="n"/>
      <c r="F81" s="3" t="n"/>
      <c r="G81" s="3" t="n"/>
      <c r="H81" s="3">
        <f>IF(OR(F81="",G81=""),"",G81/F81-1)</f>
        <v/>
      </c>
      <c r="I81" s="3" t="n"/>
      <c r="J81" s="3" t="n"/>
      <c r="K81" s="3" t="n"/>
      <c r="L81" s="3" t="n"/>
      <c r="M81" s="3" t="n"/>
      <c r="N81" s="3" t="n"/>
      <c r="O81" s="3" t="n"/>
      <c r="P81" s="3" t="n"/>
    </row>
    <row r="82">
      <c r="A82" s="2" t="n"/>
      <c r="B82" s="3" t="n"/>
      <c r="C82" s="3" t="n"/>
      <c r="D82" s="3" t="n"/>
      <c r="E82" s="3" t="n"/>
      <c r="F82" s="3" t="n"/>
      <c r="G82" s="3" t="n"/>
      <c r="H82" s="3">
        <f>IF(OR(F82="",G82=""),"",G82/F82-1)</f>
        <v/>
      </c>
      <c r="I82" s="3" t="n"/>
      <c r="J82" s="3" t="n"/>
      <c r="K82" s="3" t="n"/>
      <c r="L82" s="3" t="n"/>
      <c r="M82" s="3" t="n"/>
      <c r="N82" s="3" t="n"/>
      <c r="O82" s="3" t="n"/>
      <c r="P82" s="3" t="n"/>
    </row>
    <row r="83">
      <c r="A83" s="2" t="n"/>
      <c r="B83" s="3" t="n"/>
      <c r="C83" s="3" t="n"/>
      <c r="D83" s="3" t="n"/>
      <c r="E83" s="3" t="n"/>
      <c r="F83" s="3" t="n"/>
      <c r="G83" s="3" t="n"/>
      <c r="H83" s="3">
        <f>IF(OR(F83="",G83=""),"",G83/F83-1)</f>
        <v/>
      </c>
      <c r="I83" s="3" t="n"/>
      <c r="J83" s="3" t="n"/>
      <c r="K83" s="3" t="n"/>
      <c r="L83" s="3" t="n"/>
      <c r="M83" s="3" t="n"/>
      <c r="N83" s="3" t="n"/>
      <c r="O83" s="3" t="n"/>
      <c r="P83" s="3" t="n"/>
    </row>
    <row r="84">
      <c r="A84" s="2" t="n"/>
      <c r="B84" s="3" t="n"/>
      <c r="C84" s="3" t="n"/>
      <c r="D84" s="3" t="n"/>
      <c r="E84" s="3" t="n"/>
      <c r="F84" s="3" t="n"/>
      <c r="G84" s="3" t="n"/>
      <c r="H84" s="3">
        <f>IF(OR(F84="",G84=""),"",G84/F84-1)</f>
        <v/>
      </c>
      <c r="I84" s="3" t="n"/>
      <c r="J84" s="3" t="n"/>
      <c r="K84" s="3" t="n"/>
      <c r="L84" s="3" t="n"/>
      <c r="M84" s="3" t="n"/>
      <c r="N84" s="3" t="n"/>
      <c r="O84" s="3" t="n"/>
      <c r="P84" s="3" t="n"/>
    </row>
    <row r="85">
      <c r="A85" s="2" t="n"/>
      <c r="B85" s="3" t="n"/>
      <c r="C85" s="3" t="n"/>
      <c r="D85" s="3" t="n"/>
      <c r="E85" s="3" t="n"/>
      <c r="F85" s="3" t="n"/>
      <c r="G85" s="3" t="n"/>
      <c r="H85" s="3">
        <f>IF(OR(F85="",G85=""),"",G85/F85-1)</f>
        <v/>
      </c>
      <c r="I85" s="3" t="n"/>
      <c r="J85" s="3" t="n"/>
      <c r="K85" s="3" t="n"/>
      <c r="L85" s="3" t="n"/>
      <c r="M85" s="3" t="n"/>
      <c r="N85" s="3" t="n"/>
      <c r="O85" s="3" t="n"/>
      <c r="P85" s="3" t="n"/>
    </row>
    <row r="86">
      <c r="A86" s="2" t="n"/>
      <c r="B86" s="3" t="n"/>
      <c r="C86" s="3" t="n"/>
      <c r="D86" s="3" t="n"/>
      <c r="E86" s="3" t="n"/>
      <c r="F86" s="3" t="n"/>
      <c r="G86" s="3" t="n"/>
      <c r="H86" s="3">
        <f>IF(OR(F86="",G86=""),"",G86/F86-1)</f>
        <v/>
      </c>
      <c r="I86" s="3" t="n"/>
      <c r="J86" s="3" t="n"/>
      <c r="K86" s="3" t="n"/>
      <c r="L86" s="3" t="n"/>
      <c r="M86" s="3" t="n"/>
      <c r="N86" s="3" t="n"/>
      <c r="O86" s="3" t="n"/>
      <c r="P86" s="3" t="n"/>
    </row>
    <row r="87">
      <c r="A87" s="2" t="n"/>
      <c r="B87" s="3" t="n"/>
      <c r="C87" s="3" t="n"/>
      <c r="D87" s="3" t="n"/>
      <c r="E87" s="3" t="n"/>
      <c r="F87" s="3" t="n"/>
      <c r="G87" s="3" t="n"/>
      <c r="H87" s="3">
        <f>IF(OR(F87="",G87=""),"",G87/F87-1)</f>
        <v/>
      </c>
      <c r="I87" s="3" t="n"/>
      <c r="J87" s="3" t="n"/>
      <c r="K87" s="3" t="n"/>
      <c r="L87" s="3" t="n"/>
      <c r="M87" s="3" t="n"/>
      <c r="N87" s="3" t="n"/>
      <c r="O87" s="3" t="n"/>
      <c r="P87" s="3" t="n"/>
    </row>
    <row r="88">
      <c r="A88" s="2" t="n"/>
      <c r="B88" s="3" t="n"/>
      <c r="C88" s="3" t="n"/>
      <c r="D88" s="3" t="n"/>
      <c r="E88" s="3" t="n"/>
      <c r="F88" s="3" t="n"/>
      <c r="G88" s="3" t="n"/>
      <c r="H88" s="3">
        <f>IF(OR(F88="",G88=""),"",G88/F88-1)</f>
        <v/>
      </c>
      <c r="I88" s="3" t="n"/>
      <c r="J88" s="3" t="n"/>
      <c r="K88" s="3" t="n"/>
      <c r="L88" s="3" t="n"/>
      <c r="M88" s="3" t="n"/>
      <c r="N88" s="3" t="n"/>
      <c r="O88" s="3" t="n"/>
      <c r="P88" s="3" t="n"/>
    </row>
    <row r="89">
      <c r="A89" s="2" t="n"/>
      <c r="B89" s="3" t="n"/>
      <c r="C89" s="3" t="n"/>
      <c r="D89" s="3" t="n"/>
      <c r="E89" s="3" t="n"/>
      <c r="F89" s="3" t="n"/>
      <c r="G89" s="3" t="n"/>
      <c r="H89" s="3">
        <f>IF(OR(F89="",G89=""),"",G89/F89-1)</f>
        <v/>
      </c>
      <c r="I89" s="3" t="n"/>
      <c r="J89" s="3" t="n"/>
      <c r="K89" s="3" t="n"/>
      <c r="L89" s="3" t="n"/>
      <c r="M89" s="3" t="n"/>
      <c r="N89" s="3" t="n"/>
      <c r="O89" s="3" t="n"/>
      <c r="P89" s="3" t="n"/>
    </row>
    <row r="90">
      <c r="A90" s="2" t="n"/>
      <c r="B90" s="3" t="n"/>
      <c r="C90" s="3" t="n"/>
      <c r="D90" s="3" t="n"/>
      <c r="E90" s="3" t="n"/>
      <c r="F90" s="3" t="n"/>
      <c r="G90" s="3" t="n"/>
      <c r="H90" s="3">
        <f>IF(OR(F90="",G90=""),"",G90/F90-1)</f>
        <v/>
      </c>
      <c r="I90" s="3" t="n"/>
      <c r="J90" s="3" t="n"/>
      <c r="K90" s="3" t="n"/>
      <c r="L90" s="3" t="n"/>
      <c r="M90" s="3" t="n"/>
      <c r="N90" s="3" t="n"/>
      <c r="O90" s="3" t="n"/>
      <c r="P90" s="3" t="n"/>
    </row>
    <row r="91">
      <c r="A91" s="2" t="n"/>
      <c r="B91" s="3" t="n"/>
      <c r="C91" s="3" t="n"/>
      <c r="D91" s="3" t="n"/>
      <c r="E91" s="3" t="n"/>
      <c r="F91" s="3" t="n"/>
      <c r="G91" s="3" t="n"/>
      <c r="H91" s="3">
        <f>IF(OR(F91="",G91=""),"",G91/F91-1)</f>
        <v/>
      </c>
      <c r="I91" s="3" t="n"/>
      <c r="J91" s="3" t="n"/>
      <c r="K91" s="3" t="n"/>
      <c r="L91" s="3" t="n"/>
      <c r="M91" s="3" t="n"/>
      <c r="N91" s="3" t="n"/>
      <c r="O91" s="3" t="n"/>
      <c r="P91" s="3" t="n"/>
    </row>
    <row r="92">
      <c r="A92" s="2" t="n"/>
      <c r="B92" s="3" t="n"/>
      <c r="C92" s="3" t="n"/>
      <c r="D92" s="3" t="n"/>
      <c r="E92" s="3" t="n"/>
      <c r="F92" s="3" t="n"/>
      <c r="G92" s="3" t="n"/>
      <c r="H92" s="3">
        <f>IF(OR(F92="",G92=""),"",G92/F92-1)</f>
        <v/>
      </c>
      <c r="I92" s="3" t="n"/>
      <c r="J92" s="3" t="n"/>
      <c r="K92" s="3" t="n"/>
      <c r="L92" s="3" t="n"/>
      <c r="M92" s="3" t="n"/>
      <c r="N92" s="3" t="n"/>
      <c r="O92" s="3" t="n"/>
      <c r="P92" s="3" t="n"/>
    </row>
    <row r="93">
      <c r="A93" s="2" t="n"/>
      <c r="B93" s="3" t="n"/>
      <c r="C93" s="3" t="n"/>
      <c r="D93" s="3" t="n"/>
      <c r="E93" s="3" t="n"/>
      <c r="F93" s="3" t="n"/>
      <c r="G93" s="3" t="n"/>
      <c r="H93" s="3">
        <f>IF(OR(F93="",G93=""),"",G93/F93-1)</f>
        <v/>
      </c>
      <c r="I93" s="3" t="n"/>
      <c r="J93" s="3" t="n"/>
      <c r="K93" s="3" t="n"/>
      <c r="L93" s="3" t="n"/>
      <c r="M93" s="3" t="n"/>
      <c r="N93" s="3" t="n"/>
      <c r="O93" s="3" t="n"/>
      <c r="P93" s="3" t="n"/>
    </row>
    <row r="94">
      <c r="A94" s="2" t="n"/>
      <c r="B94" s="3" t="n"/>
      <c r="C94" s="3" t="n"/>
      <c r="D94" s="3" t="n"/>
      <c r="E94" s="3" t="n"/>
      <c r="F94" s="3" t="n"/>
      <c r="G94" s="3" t="n"/>
      <c r="H94" s="3">
        <f>IF(OR(F94="",G94=""),"",G94/F94-1)</f>
        <v/>
      </c>
      <c r="I94" s="3" t="n"/>
      <c r="J94" s="3" t="n"/>
      <c r="K94" s="3" t="n"/>
      <c r="L94" s="3" t="n"/>
      <c r="M94" s="3" t="n"/>
      <c r="N94" s="3" t="n"/>
      <c r="O94" s="3" t="n"/>
      <c r="P94" s="3" t="n"/>
    </row>
    <row r="95">
      <c r="A95" s="2" t="n"/>
      <c r="B95" s="3" t="n"/>
      <c r="C95" s="3" t="n"/>
      <c r="D95" s="3" t="n"/>
      <c r="E95" s="3" t="n"/>
      <c r="F95" s="3" t="n"/>
      <c r="G95" s="3" t="n"/>
      <c r="H95" s="3">
        <f>IF(OR(F95="",G95=""),"",G95/F95-1)</f>
        <v/>
      </c>
      <c r="I95" s="3" t="n"/>
      <c r="J95" s="3" t="n"/>
      <c r="K95" s="3" t="n"/>
      <c r="L95" s="3" t="n"/>
      <c r="M95" s="3" t="n"/>
      <c r="N95" s="3" t="n"/>
      <c r="O95" s="3" t="n"/>
      <c r="P95" s="3" t="n"/>
    </row>
    <row r="96">
      <c r="A96" s="2" t="n"/>
      <c r="B96" s="3" t="n"/>
      <c r="C96" s="3" t="n"/>
      <c r="D96" s="3" t="n"/>
      <c r="E96" s="3" t="n"/>
      <c r="F96" s="3" t="n"/>
      <c r="G96" s="3" t="n"/>
      <c r="H96" s="3">
        <f>IF(OR(F96="",G96=""),"",G96/F96-1)</f>
        <v/>
      </c>
      <c r="I96" s="3" t="n"/>
      <c r="J96" s="3" t="n"/>
      <c r="K96" s="3" t="n"/>
      <c r="L96" s="3" t="n"/>
      <c r="M96" s="3" t="n"/>
      <c r="N96" s="3" t="n"/>
      <c r="O96" s="3" t="n"/>
      <c r="P96" s="3" t="n"/>
    </row>
    <row r="97">
      <c r="A97" s="2" t="n"/>
      <c r="B97" s="3" t="n"/>
      <c r="C97" s="3" t="n"/>
      <c r="D97" s="3" t="n"/>
      <c r="E97" s="3" t="n"/>
      <c r="F97" s="3" t="n"/>
      <c r="G97" s="3" t="n"/>
      <c r="H97" s="3">
        <f>IF(OR(F97="",G97=""),"",G97/F97-1)</f>
        <v/>
      </c>
      <c r="I97" s="3" t="n"/>
      <c r="J97" s="3" t="n"/>
      <c r="K97" s="3" t="n"/>
      <c r="L97" s="3" t="n"/>
      <c r="M97" s="3" t="n"/>
      <c r="N97" s="3" t="n"/>
      <c r="O97" s="3" t="n"/>
      <c r="P97" s="3" t="n"/>
    </row>
    <row r="98">
      <c r="A98" s="2" t="n"/>
      <c r="B98" s="3" t="n"/>
      <c r="C98" s="3" t="n"/>
      <c r="D98" s="3" t="n"/>
      <c r="E98" s="3" t="n"/>
      <c r="F98" s="3" t="n"/>
      <c r="G98" s="3" t="n"/>
      <c r="H98" s="3">
        <f>IF(OR(F98="",G98=""),"",G98/F98-1)</f>
        <v/>
      </c>
      <c r="I98" s="3" t="n"/>
      <c r="J98" s="3" t="n"/>
      <c r="K98" s="3" t="n"/>
      <c r="L98" s="3" t="n"/>
      <c r="M98" s="3" t="n"/>
      <c r="N98" s="3" t="n"/>
      <c r="O98" s="3" t="n"/>
      <c r="P98" s="3" t="n"/>
    </row>
    <row r="99">
      <c r="A99" s="2" t="n"/>
      <c r="B99" s="3" t="n"/>
      <c r="C99" s="3" t="n"/>
      <c r="D99" s="3" t="n"/>
      <c r="E99" s="3" t="n"/>
      <c r="F99" s="3" t="n"/>
      <c r="G99" s="3" t="n"/>
      <c r="H99" s="3">
        <f>IF(OR(F99="",G99=""),"",G99/F99-1)</f>
        <v/>
      </c>
      <c r="I99" s="3" t="n"/>
      <c r="J99" s="3" t="n"/>
      <c r="K99" s="3" t="n"/>
      <c r="L99" s="3" t="n"/>
      <c r="M99" s="3" t="n"/>
      <c r="N99" s="3" t="n"/>
      <c r="O99" s="3" t="n"/>
      <c r="P99" s="3" t="n"/>
    </row>
    <row r="100">
      <c r="A100" s="2" t="n"/>
      <c r="B100" s="3" t="n"/>
      <c r="C100" s="3" t="n"/>
      <c r="D100" s="3" t="n"/>
      <c r="E100" s="3" t="n"/>
      <c r="F100" s="3" t="n"/>
      <c r="G100" s="3" t="n"/>
      <c r="H100" s="3">
        <f>IF(OR(F100="",G100=""),"",G100/F100-1)</f>
        <v/>
      </c>
      <c r="I100" s="3" t="n"/>
      <c r="J100" s="3" t="n"/>
      <c r="K100" s="3" t="n"/>
      <c r="L100" s="3" t="n"/>
      <c r="M100" s="3" t="n"/>
      <c r="N100" s="3" t="n"/>
      <c r="O100" s="3" t="n"/>
      <c r="P100" s="3" t="n"/>
    </row>
    <row r="101">
      <c r="A101" s="2" t="n"/>
      <c r="B101" s="3" t="n"/>
      <c r="C101" s="3" t="n"/>
      <c r="D101" s="3" t="n"/>
      <c r="E101" s="3" t="n"/>
      <c r="F101" s="3" t="n"/>
      <c r="G101" s="3" t="n"/>
      <c r="H101" s="3">
        <f>IF(OR(F101="",G101=""),"",G101/F101-1)</f>
        <v/>
      </c>
      <c r="I101" s="3" t="n"/>
      <c r="J101" s="3" t="n"/>
      <c r="K101" s="3" t="n"/>
      <c r="L101" s="3" t="n"/>
      <c r="M101" s="3" t="n"/>
      <c r="N101" s="3" t="n"/>
      <c r="O101" s="3" t="n"/>
      <c r="P101" s="3" t="n"/>
    </row>
    <row r="102">
      <c r="A102" s="2" t="n"/>
      <c r="B102" s="3" t="n"/>
      <c r="C102" s="3" t="n"/>
      <c r="D102" s="3" t="n"/>
      <c r="E102" s="3" t="n"/>
      <c r="F102" s="3" t="n"/>
      <c r="G102" s="3" t="n"/>
      <c r="H102" s="3">
        <f>IF(OR(F102="",G102=""),"",G102/F102-1)</f>
        <v/>
      </c>
      <c r="I102" s="3" t="n"/>
      <c r="J102" s="3" t="n"/>
      <c r="K102" s="3" t="n"/>
      <c r="L102" s="3" t="n"/>
      <c r="M102" s="3" t="n"/>
      <c r="N102" s="3" t="n"/>
      <c r="O102" s="3" t="n"/>
      <c r="P102" s="3" t="n"/>
    </row>
  </sheetData>
  <autoFilter ref="A1:P102"/>
  <mergeCells count="1">
    <mergeCell ref="A1:P1"/>
  </mergeCells>
  <dataValidations count="3">
    <dataValidation sqref="D3:D102" showDropDown="0" showInputMessage="0" showErrorMessage="0" allowBlank="1" type="list">
      <formula1>"短线,波段,趋势,防守,观察"</formula1>
    </dataValidation>
    <dataValidation sqref="N3:N102" showDropDown="0" showInputMessage="0" showErrorMessage="0" allowBlank="1" type="list">
      <formula1>"已执行,部分执行,未执行,取消"</formula1>
    </dataValidation>
    <dataValidation sqref="O3:O102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2" customWidth="1" min="4" max="4"/>
    <col width="22" customWidth="1" min="5" max="5"/>
    <col width="20" customWidth="1" min="6" max="6"/>
    <col width="14" customWidth="1" min="7" max="7"/>
    <col width="22" customWidth="1" min="8" max="8"/>
  </cols>
  <sheetData>
    <row r="1" ht="26" customHeight="1">
      <c r="A1" s="1" t="inlineStr">
        <is>
          <t>复盘规则与打分标准</t>
        </is>
      </c>
    </row>
    <row r="3" ht="28" customHeight="1">
      <c r="A3" s="5" t="inlineStr">
        <is>
          <t>模块</t>
        </is>
      </c>
      <c r="B3" s="6" t="inlineStr">
        <is>
          <t>检查项</t>
        </is>
      </c>
      <c r="C3" s="6" t="inlineStr">
        <is>
          <t>判断标准</t>
        </is>
      </c>
      <c r="D3" s="6" t="inlineStr">
        <is>
          <t>强信号</t>
        </is>
      </c>
      <c r="E3" s="6" t="inlineStr">
        <is>
          <t>弱信号</t>
        </is>
      </c>
      <c r="F3" s="6" t="inlineStr">
        <is>
          <t>行动建议</t>
        </is>
      </c>
      <c r="G3" s="6" t="inlineStr">
        <is>
          <t>记录位置</t>
        </is>
      </c>
      <c r="H3" s="6" t="inlineStr">
        <is>
          <t>备注</t>
        </is>
      </c>
    </row>
    <row r="4">
      <c r="A4" s="2" t="inlineStr">
        <is>
          <t>市场环境</t>
        </is>
      </c>
      <c r="B4" s="3" t="inlineStr">
        <is>
          <t>量能</t>
        </is>
      </c>
      <c r="C4" s="3" t="inlineStr">
        <is>
          <t>成交额较昨日变化</t>
        </is>
      </c>
      <c r="D4" s="3" t="inlineStr">
        <is>
          <t>放量上涨或缩量止跌</t>
        </is>
      </c>
      <c r="E4" s="3" t="inlineStr">
        <is>
          <t>缩量上涨或放量下跌</t>
        </is>
      </c>
      <c r="F4" s="3" t="inlineStr">
        <is>
          <t>决定基础仓位</t>
        </is>
      </c>
      <c r="G4" s="3" t="inlineStr">
        <is>
          <t>每日复盘</t>
        </is>
      </c>
      <c r="H4" s="3" t="inlineStr">
        <is>
          <t>先判环境再选股</t>
        </is>
      </c>
    </row>
    <row r="5">
      <c r="A5" s="2" t="inlineStr">
        <is>
          <t>赚钱效应</t>
        </is>
      </c>
      <c r="B5" s="3" t="inlineStr">
        <is>
          <t>涨跌家数/涨跌停</t>
        </is>
      </c>
      <c r="C5" s="3" t="inlineStr">
        <is>
          <t>上涨家数、涨停数、跌停数</t>
        </is>
      </c>
      <c r="D5" s="3" t="inlineStr">
        <is>
          <t>涨停扩散且跌停少</t>
        </is>
      </c>
      <c r="E5" s="3" t="inlineStr">
        <is>
          <t>跌停增加、高位股负反馈</t>
        </is>
      </c>
      <c r="F5" s="3" t="inlineStr">
        <is>
          <t>控制仓位</t>
        </is>
      </c>
      <c r="G5" s="3" t="inlineStr">
        <is>
          <t>每日复盘</t>
        </is>
      </c>
      <c r="H5" s="3" t="inlineStr">
        <is>
          <t>情绪评分1-10</t>
        </is>
      </c>
    </row>
    <row r="6">
      <c r="A6" s="2" t="inlineStr">
        <is>
          <t>热点识别</t>
        </is>
      </c>
      <c r="B6" s="3" t="inlineStr">
        <is>
          <t>板块持续性</t>
        </is>
      </c>
      <c r="C6" s="3" t="inlineStr">
        <is>
          <t>连续活跃天数与核心股反馈</t>
        </is>
      </c>
      <c r="D6" s="3" t="inlineStr">
        <is>
          <t>主线延续、有梯队</t>
        </is>
      </c>
      <c r="E6" s="3" t="inlineStr">
        <is>
          <t>一日游、无核心</t>
        </is>
      </c>
      <c r="F6" s="3" t="inlineStr">
        <is>
          <t>只做主线或低吸</t>
        </is>
      </c>
      <c r="G6" s="3" t="inlineStr">
        <is>
          <t>板块热点</t>
        </is>
      </c>
      <c r="H6" s="3" t="inlineStr">
        <is>
          <t>避免只看涨幅榜</t>
        </is>
      </c>
    </row>
    <row r="7">
      <c r="A7" s="2" t="inlineStr">
        <is>
          <t>核心个股</t>
        </is>
      </c>
      <c r="B7" s="3" t="inlineStr">
        <is>
          <t>角色定位</t>
        </is>
      </c>
      <c r="C7" s="3" t="inlineStr">
        <is>
          <t>龙头/中军/补涨/套利</t>
        </is>
      </c>
      <c r="D7" s="3" t="inlineStr">
        <is>
          <t>龙头强，中军稳</t>
        </is>
      </c>
      <c r="E7" s="3" t="inlineStr">
        <is>
          <t>龙头断板且补涨混乱</t>
        </is>
      </c>
      <c r="F7" s="3" t="inlineStr">
        <is>
          <t>优先核心，少做杂股</t>
        </is>
      </c>
      <c r="G7" s="3" t="inlineStr">
        <is>
          <t>核心个股</t>
        </is>
      </c>
      <c r="H7" s="3" t="inlineStr">
        <is>
          <t>记录失效条件</t>
        </is>
      </c>
    </row>
    <row r="8">
      <c r="A8" s="2" t="inlineStr">
        <is>
          <t>交易计划</t>
        </is>
      </c>
      <c r="B8" s="3" t="inlineStr">
        <is>
          <t>触发条件</t>
        </is>
      </c>
      <c r="C8" s="3" t="inlineStr">
        <is>
          <t>指数、板块、个股三者共振</t>
        </is>
      </c>
      <c r="D8" s="3" t="inlineStr">
        <is>
          <t>放量突破/回踩确认</t>
        </is>
      </c>
      <c r="E8" s="3" t="inlineStr">
        <is>
          <t>冲高无量、跌破关键位</t>
        </is>
      </c>
      <c r="F8" s="3" t="inlineStr">
        <is>
          <t>计划内交易</t>
        </is>
      </c>
      <c r="G8" s="3" t="inlineStr">
        <is>
          <t>复盘仪表盘</t>
        </is>
      </c>
      <c r="H8" s="3" t="inlineStr">
        <is>
          <t>不因盘中情绪改规则</t>
        </is>
      </c>
    </row>
    <row r="9">
      <c r="A9" s="2" t="inlineStr">
        <is>
          <t>持仓管理</t>
        </is>
      </c>
      <c r="B9" s="3" t="inlineStr">
        <is>
          <t>止损止盈</t>
        </is>
      </c>
      <c r="C9" s="3" t="inlineStr">
        <is>
          <t>价格/逻辑双止损</t>
        </is>
      </c>
      <c r="D9" s="3" t="inlineStr">
        <is>
          <t>未破位且逻辑延续</t>
        </is>
      </c>
      <c r="E9" s="3" t="inlineStr">
        <is>
          <t>跌破止损或逻辑证伪</t>
        </is>
      </c>
      <c r="F9" s="3" t="inlineStr">
        <is>
          <t>执行计划</t>
        </is>
      </c>
      <c r="G9" s="3" t="inlineStr">
        <is>
          <t>持仓计划</t>
        </is>
      </c>
      <c r="H9" s="3" t="inlineStr">
        <is>
          <t>复盘是否执行</t>
        </is>
      </c>
    </row>
    <row r="10">
      <c r="A10" s="4" t="n"/>
    </row>
    <row r="11">
      <c r="A11" s="4" t="n"/>
    </row>
    <row r="12">
      <c r="A12" s="2" t="inlineStr">
        <is>
          <t>每日复盘顺序：1 指数和成交额  2 赚钱效应  3 资金方向  4 热点持续性  5 明日计划  6 次日复盘</t>
        </is>
      </c>
      <c r="B12" s="10" t="n"/>
      <c r="C12" s="10" t="n"/>
      <c r="D12" s="10" t="n"/>
      <c r="E12" s="10" t="n"/>
      <c r="F12" s="10" t="n"/>
      <c r="G12" s="10" t="n"/>
      <c r="H12" s="11" t="n"/>
    </row>
  </sheetData>
  <mergeCells count="2">
    <mergeCell ref="A12:H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2026-06-16T09:40:10Z</dcterms:created>
  <dcterms:modified xsi:type="dcterms:W3CDTF">2026-10-21T15:56:47Z</dcterms:modified>
</cp:coreProperties>
</file>